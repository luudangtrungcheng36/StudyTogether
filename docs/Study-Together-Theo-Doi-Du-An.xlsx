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ilen\Downloads\"/>
    </mc:Choice>
  </mc:AlternateContent>
  <xr:revisionPtr revIDLastSave="0" documentId="13_ncr:1_{F8910432-D72C-4715-8738-C49CE2874292}" xr6:coauthVersionLast="47" xr6:coauthVersionMax="47" xr10:uidLastSave="{00000000-0000-0000-0000-000000000000}"/>
  <bookViews>
    <workbookView xWindow="-120" yWindow="-120" windowWidth="29040" windowHeight="15720" xr2:uid="{00000000-000D-0000-FFFF-FFFF00000000}"/>
  </bookViews>
  <sheets>
    <sheet name="Tổng quan" sheetId="1" r:id="rId1"/>
    <sheet name="Chi tiết case" sheetId="2" r:id="rId2"/>
    <sheet name="Ý tưởng"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24" i="2" l="1"/>
  <c r="B207" i="2"/>
  <c r="B190" i="2"/>
  <c r="B173" i="2"/>
  <c r="B156" i="2"/>
  <c r="B139" i="2"/>
  <c r="B122" i="2"/>
  <c r="B105" i="2"/>
  <c r="B88" i="2"/>
  <c r="B71" i="2"/>
  <c r="B54" i="2"/>
  <c r="B37" i="2"/>
  <c r="B20" i="2"/>
</calcChain>
</file>

<file path=xl/sharedStrings.xml><?xml version="1.0" encoding="utf-8"?>
<sst xmlns="http://schemas.openxmlformats.org/spreadsheetml/2006/main" count="592" uniqueCount="314">
  <si>
    <t>STUDY TOGETHER — BẢN ĐỒ DỰ ÁN</t>
  </si>
  <si>
    <t>Discord ghi nhận học tập. Backend xử lý và lưu dữ liệu. Website hiển thị hồ sơ, lịch sử, tiến bộ và xếp hạng.</t>
  </si>
  <si>
    <t>Hướng kỹ thuật: Java 25, Spring Boot, Maven, PostgreSQL, React. Backend tổ chức theo feature. Giao diện dùng được trên máy tính và điện thoại.</t>
  </si>
  <si>
    <t>Tab chính chỉ chứa chức năng đã chọn xây dựng. Endpoint và package dưới đây là đề xuất. Tiến độ chưa đối chiếu code nên để “Chưa xác nhận”.</t>
  </si>
  <si>
    <t>Bấm mã case để đọc chi tiết. Lọc bằng tiêu đề bảng. Cột Tiến độ có danh sách chọn và là nơi cập nhật tiến độ duy nhất.</t>
  </si>
  <si>
    <t>Module</t>
  </si>
  <si>
    <t>Mã case</t>
  </si>
  <si>
    <t>Chức năng</t>
  </si>
  <si>
    <t>Điểm bắt đầu</t>
  </si>
  <si>
    <t>API / sự kiện</t>
  </si>
  <si>
    <t>Kết quả chính</t>
  </si>
  <si>
    <t>Tiến độ</t>
  </si>
  <si>
    <t>Màn hình</t>
  </si>
  <si>
    <t>Phòng học</t>
  </si>
  <si>
    <t>ROOM-01</t>
  </si>
  <si>
    <t>Thêm phòng được theo dõi</t>
  </si>
  <si>
    <t>Người quản lý chọn phòng Discord</t>
  </si>
  <si>
    <t>Đề xuất: POST /api/v1/admin/study-rooms</t>
  </si>
  <si>
    <t>Lưu phòng để bot biết nơi cần tính giờ.</t>
  </si>
  <si>
    <t>Chưa xác nhận</t>
  </si>
  <si>
    <t>Quản trị phòng học</t>
  </si>
  <si>
    <t>ROOM-02</t>
  </si>
  <si>
    <t>Xem và bật/tắt theo dõi phòng</t>
  </si>
  <si>
    <t>Người quản lý xem hoặc đổi cấu hình</t>
  </si>
  <si>
    <t>Đề xuất: GET /api/v1/admin/study-rooms
PATCH /api/v1/admin/study-rooms/{id}</t>
  </si>
  <si>
    <t>Xem danh sách và đổi trạng thái phòng.</t>
  </si>
  <si>
    <t>Tài khoản</t>
  </si>
  <si>
    <t>IDENTITY-01</t>
  </si>
  <si>
    <t>Nhận diện người dùng Discord</t>
  </si>
  <si>
    <t>Bot ghi nhận học hoặc người dùng đăng nhập</t>
  </si>
  <si>
    <t>Nội bộ: resolveDiscordUser
Không cần REST API riêng</t>
  </si>
  <si>
    <t>Một Discord ID được gắn với một người dùng nội bộ.</t>
  </si>
  <si>
    <t>Chạy nền</t>
  </si>
  <si>
    <t>AUTH-01</t>
  </si>
  <si>
    <t>Đăng nhập website bằng Discord</t>
  </si>
  <si>
    <t>Người dùng bấm đăng nhập Discord</t>
  </si>
  <si>
    <t>OAuth Discord: bắt đầu đăng nhập và callback
Đường dẫn endpoint chưa chốt</t>
  </si>
  <si>
    <t>Đăng nhập vào đúng tài khoản có lịch sử Discord.</t>
  </si>
  <si>
    <t>Đăng nhập</t>
  </si>
  <si>
    <t>AUTH-02</t>
  </si>
  <si>
    <t>Đăng xuất website</t>
  </si>
  <si>
    <t>Người dùng bấm đăng xuất</t>
  </si>
  <si>
    <t>Đề xuất: POST /api/v1/auth/logout</t>
  </si>
  <si>
    <t>Kết thúc trạng thái đăng nhập website.</t>
  </si>
  <si>
    <t>Menu tài khoản</t>
  </si>
  <si>
    <t>Học tập</t>
  </si>
  <si>
    <t>STUDY-01</t>
  </si>
  <si>
    <t>Bắt đầu phiên học</t>
  </si>
  <si>
    <t>Người dùng vào phòng được theo dõi</t>
  </si>
  <si>
    <t>Sự kiện Discord vào voice channel
Nội bộ: startStudySession</t>
  </si>
  <si>
    <t>Mở phiên và bắt đầu tính tổng thời gian học.</t>
  </si>
  <si>
    <t>Phòng Discord</t>
  </si>
  <si>
    <t>STUDY-02</t>
  </si>
  <si>
    <t>Ghi thời gian camera/chia sẻ màn hình</t>
  </si>
  <si>
    <t>Người dùng bật/tắt camera hoặc chia sẻ</t>
  </si>
  <si>
    <t>Sự kiện Discord thay đổi trạng thái visual
Nội bộ: updateVisualState</t>
  </si>
  <si>
    <t>Lưu các khoảng visual trong phiên học.</t>
  </si>
  <si>
    <t>STUDY-03</t>
  </si>
  <si>
    <t>Kết thúc phiên học</t>
  </si>
  <si>
    <t>Người dùng rời phòng hoặc sang phòng không theo dõi</t>
  </si>
  <si>
    <t>Sự kiện Discord rời voice channel
Nội bộ: endStudySession</t>
  </si>
  <si>
    <t>Đóng phiên, dừng tổng giờ và visual.</t>
  </si>
  <si>
    <t>STUDY-04</t>
  </si>
  <si>
    <t>Chuyển giữa các phòng học</t>
  </si>
  <si>
    <t>Người dùng chuyển voice channel</t>
  </si>
  <si>
    <t>Sự kiện Discord đổi voice channel
Nội bộ: transitionStudyRoom</t>
  </si>
  <si>
    <t>Ghi nhận đúng phòng, không đếm chồng thời gian.</t>
  </si>
  <si>
    <t>STUDY-05</t>
  </si>
  <si>
    <t>Xem lịch sử học cá nhân</t>
  </si>
  <si>
    <t>Người dùng mở lịch sử và chọn bộ lọc</t>
  </si>
  <si>
    <t>Đề xuất: GET /api/v1/me/study-sessions</t>
  </si>
  <si>
    <t>Hiển thị các phiên học và thời lượng của mình.</t>
  </si>
  <si>
    <t>Lịch sử học</t>
  </si>
  <si>
    <t>STUDY-06</t>
  </si>
  <si>
    <t>Xem tổng giờ và tiến bộ học tập</t>
  </si>
  <si>
    <t>Người dùng mở thống kê và chọn kỳ</t>
  </si>
  <si>
    <t>Đề xuất: GET /api/v1/me/study-stats</t>
  </si>
  <si>
    <t>Hiển thị tổng thời gian và visual theo kỳ.</t>
  </si>
  <si>
    <t>Tổng quan cá nhân / hồ sơ</t>
  </si>
  <si>
    <t>Hồ sơ</t>
  </si>
  <si>
    <t>PROFILE-01</t>
  </si>
  <si>
    <t>Xem hồ sơ cá nhân</t>
  </si>
  <si>
    <t>Người dùng mở trang hồ sơ</t>
  </si>
  <si>
    <t>Đề xuất: GET /api/v1/me
Dùng thêm API STUDY-06 khi cần</t>
  </si>
  <si>
    <t>Hiển thị tài khoản và tiến độ học của mình.</t>
  </si>
  <si>
    <t>RANK-01</t>
  </si>
  <si>
    <t>Xem bảng xếp hạng học tập</t>
  </si>
  <si>
    <t>Người dùng mở bảng xếp hạng và chọn kỳ</t>
  </si>
  <si>
    <t>Đề xuất: GET /api/v1/leaderboard</t>
  </si>
  <si>
    <t>Hiển thị thứ hạng theo thời gian học của kỳ.</t>
  </si>
  <si>
    <t>Bảng xếp hạng</t>
  </si>
  <si>
    <t>CHI TIẾT NGHIỆP VỤ</t>
  </si>
  <si>
    <t>Tìm theo mã case hoặc bấm mã ở Tổng quan. Các ô nội dung có thể sửa trực tiếp. Link màn hình để trống để bạn bổ sung thiết kế.</t>
  </si>
  <si>
    <t>Tổng giờ tính từ vào đến rời phòng được theo dõi. Visual là camera hoặc chia sẻ màn hình, tính phần hợp nhau và nằm trong tổng giờ.</t>
  </si>
  <si>
    <t>Module / package</t>
  </si>
  <si>
    <t>Phòng học. feature.room (cách đặt package đề xuất).</t>
  </si>
  <si>
    <t>Người quản lý chọn phòng Discord.
Đề xuất: POST /api/v1/admin/study-rooms</t>
  </si>
  <si>
    <t>Điều kiện</t>
  </si>
  <si>
    <t>Người thao tác có quyền quản lý. Bot truy cập được server và phòng đã chọn.</t>
  </si>
  <si>
    <t>Luồng chính</t>
  </si>
  <si>
    <t>1. Nhập/chọn server và phòng Discord.
2. Kiểm tra quyền, sự tồn tại của phòng và cấu hình trùng.
3. Lưu phòng theo dõi.
4. Bot dùng cấu hình này cho các sự kiện học tiếp theo.</t>
  </si>
  <si>
    <t>Trường hợp khác / lỗi</t>
  </si>
  <si>
    <t>Phòng không tồn tại hoặc bot không truy cập được: báo lỗi. Phòng đã cấu hình: không thêm bản ghi trùng.</t>
  </si>
  <si>
    <t>Ràng buộc / validate</t>
  </si>
  <si>
    <t>Chỉ phòng được bật theo dõi mới tính giờ. Không nhập tên phòng làm khóa định danh. Một cặp server/phòng chỉ có một cấu hình.</t>
  </si>
  <si>
    <t>Kết quả</t>
  </si>
  <si>
    <t>Dữ liệu liên quan</t>
  </si>
  <si>
    <t>Cấu hình phòng: server ID, channel ID, trạng thái theo dõi. Tên bảng sẽ đối chiếu khi chốt DB.</t>
  </si>
  <si>
    <t>Case liên quan</t>
  </si>
  <si>
    <t>ROOM-02, STUDY-01</t>
  </si>
  <si>
    <t>Link / ảnh màn hình</t>
  </si>
  <si>
    <t>Cần chốt thêm</t>
  </si>
  <si>
    <t>Cách chọn phòng trên giao diện; quyền quản lý cụ thể; nếu thêm phòng đang có người học thì bắt đầu ghi nhận từ thời điểm nào.</t>
  </si>
  <si>
    <t>Kiểm tra hoàn thành</t>
  </si>
  <si>
    <t>Thêm phòng hợp lệ thành công. Thêm trùng bị chặn. Người không có quyền không sửa được cấu hình.</t>
  </si>
  <si>
    <t>Về dòng ROOM-01 ở Tổng quan</t>
  </si>
  <si>
    <t>Người quản lý xem hoặc đổi cấu hình.
Đề xuất: GET /api/v1/admin/study-rooms
PATCH /api/v1/admin/study-rooms/{id}</t>
  </si>
  <si>
    <t>Cấu hình phòng tồn tại. Người thao tác có quyền quản lý.</t>
  </si>
  <si>
    <t>1. Xem danh sách phòng và trạng thái.
2. Chọn phòng, bật hoặc tắt theo dõi.
3. Kiểm tra quyền và lưu thay đổi.
4. Bot áp dụng cấu hình mới.</t>
  </si>
  <si>
    <t>Phòng không có trong cấu hình: báo không tìm thấy. Cập nhật cùng trạng thái: không phát sinh tác động lặp.</t>
  </si>
  <si>
    <t>Phòng tắt theo dõi không mở phiên mới. Không xóa lịch sử học khi thay đổi cấu hình.</t>
  </si>
  <si>
    <t>Đọc và cập nhật cấu hình phòng. Có thể liên quan phiên đang mở.</t>
  </si>
  <si>
    <t>ROOM-01, STUDY-01, STUDY-03</t>
  </si>
  <si>
    <t>Khi tắt phòng đang có phiên mở: đóng ngay hay cho phiên tiếp tục; khi bật lại: xử lý người đang ở phòng thế nào.</t>
  </si>
  <si>
    <t>Danh sách phản ánh đúng trạng thái đã lưu. Sau khi tắt, sự kiện vào mới không tạo phiên. Kiểm tra phiên đang mở theo chính sách được chốt.</t>
  </si>
  <si>
    <t>Về dòng ROOM-02 ở Tổng quan</t>
  </si>
  <si>
    <t>Tài khoản. feature.identity (cách đặt package đề xuất).</t>
  </si>
  <si>
    <t>Bot ghi nhận học hoặc người dùng đăng nhập.
Nội bộ: resolveDiscordUser
Không cần REST API riêng</t>
  </si>
  <si>
    <t>Có Discord user ID hợp lệ từ bot hoặc kết quả xác thực Discord.</t>
  </si>
  <si>
    <t>1. Tìm định danh theo nhà cung cấp DISCORD và Discord user ID.
2. Đã có: dùng người dùng nội bộ tương ứng.
3. Chưa có: tạo người dùng và định danh Discord.
4. Trả người dùng nội bộ cho luồng đang xử lý.</t>
  </si>
  <si>
    <t>Bot và đăng nhập cùng tạo tài khoản: xử lý cạnh tranh, đọc lại bản ghi đã được tạo. Thiếu Discord ID: không tạo tài khoản.</t>
  </si>
  <si>
    <t>Không cần từng đăng nhập web để được ghi nhận học. Không ghép tài khoản bằng tên hiển thị hoặc email. Một định danh nhà cung cấp không thuộc hai người dùng.</t>
  </si>
  <si>
    <t>Người dùng nội bộ và định danh bên ngoài. Discord ID tách biệt với ID nội bộ.</t>
  </si>
  <si>
    <t>AUTH-01, STUDY-01, PROFILE-01</t>
  </si>
  <si>
    <t>Thông tin hồ sơ lấy từ Discord và cách cập nhật tên/avatar. Cơ chế liên kết với tài khoản độc lập nằm ở tab Ý tưởng.</t>
  </si>
  <si>
    <t>Cùng Discord ID luôn nhận lại cùng người dùng. Hai Discord ID khác nhau không bị ghép vì cùng tên. Tạo đồng thời không sinh hai định danh.</t>
  </si>
  <si>
    <t>Về dòng IDENTITY-01 ở Tổng quan</t>
  </si>
  <si>
    <t>Tài khoản. feature.auth + feature.identity (cách đặt package đề xuất).</t>
  </si>
  <si>
    <t>Người dùng bấm đăng nhập Discord.
OAuth Discord: bắt đầu đăng nhập và callback
Đường dẫn endpoint chưa chốt</t>
  </si>
  <si>
    <t>Ứng dụng Discord OAuth đã cấu hình. Người dùng xác thực và cấp quyền cần thiết.</t>
  </si>
  <si>
    <t>1. Website bắt đầu đăng nhập Discord.
2. Chuyển người dùng sang Discord xác thực.
3. Backend nhận và kiểm tra callback.
4. Xác minh Discord ID, gọi IDENTITY-01.
5. Tạo phiên đăng nhập ứng dụng và chuyển về website.</t>
  </si>
  <si>
    <t>Người dùng từ chối: quay về trạng thái chưa đăng nhập. Callback không hợp lệ hoặc đổi mã thất bại: báo lỗi, không tạo phiên.</t>
  </si>
  <si>
    <t>Kiểm tra state chống giả mạo callback. Không tin Discord ID do trình duyệt tự gửi. Bí mật OAuth chỉ ở backend. Đăng nhập dùng lại lịch sử đã ghi nhận trước đó.</t>
  </si>
  <si>
    <t>Người dùng, định danh Discord, thông tin phiên đăng nhập ứng dụng.</t>
  </si>
  <si>
    <t>IDENTITY-01, AUTH-02, PROFILE-01, STUDY-05</t>
  </si>
  <si>
    <t>Session cookie hay JWT; endpoint và redirect; thời hạn đăng nhập. Đây là một case có nhiều bước/endpoint.</t>
  </si>
  <si>
    <t>Đăng nhập đúng tài khoản cũ do bot tạo. Hủy đăng nhập không tạo phiên. Callback giả bị từ chối. Không tạo thêm tài khoản ở mỗi lần đăng nhập.</t>
  </si>
  <si>
    <t>Về dòng AUTH-01 ở Tổng quan</t>
  </si>
  <si>
    <t>Tài khoản. feature.auth (cách đặt package đề xuất).</t>
  </si>
  <si>
    <t>Người dùng bấm đăng xuất.
Đề xuất: POST /api/v1/auth/logout</t>
  </si>
  <si>
    <t>Website đang có thông tin đăng nhập.</t>
  </si>
  <si>
    <t>1. Người dùng yêu cầu đăng xuất.
2. Backend kết thúc phiên hoặc thu hồi thông tin đăng nhập theo cơ chế đã chọn.
3. Website xóa trạng thái đăng nhập và về màn hình phù hợp.</t>
  </si>
  <si>
    <t>Phiên đã hết hạn: vẫn đưa website về trạng thái chưa đăng nhập.</t>
  </si>
  <si>
    <t>Đăng xuất website không kết thúc phiên học Discord. Sau đăng xuất không truy cập được dữ liệu yêu cầu xác thực bằng phiên đã hủy.</t>
  </si>
  <si>
    <t>Thông tin phiên đăng nhập. Không xóa lịch sử học.</t>
  </si>
  <si>
    <t>AUTH-01, STUDY-01</t>
  </si>
  <si>
    <t>Cách thu hồi phụ thuộc session/JWT. Đăng xuất một thiết bị hay tất cả thiết bị chưa chốt.</t>
  </si>
  <si>
    <t>Website về trạng thái chưa đăng nhập. Phiên đã hủy không lấy được dữ liệu riêng. Bot vẫn ghi nhận học khi người dùng còn ở phòng.</t>
  </si>
  <si>
    <t>Về dòng AUTH-02 ở Tổng quan</t>
  </si>
  <si>
    <t>Học tập. feature.study (cách đặt package đề xuất).</t>
  </si>
  <si>
    <t>Người dùng vào phòng được theo dõi.
Sự kiện Discord vào voice channel
Nội bộ: startStudySession</t>
  </si>
  <si>
    <t>Phòng được bật theo dõi. Người tham gia không phải bot.</t>
  </si>
  <si>
    <t>1. Nhận người dùng, server, phòng, trạng thái camera/chia sẻ và thời điểm sự kiện.
2. Kiểm tra phòng.
3. Gọi IDENTITY-01.
4. Kiểm tra phiên đang mở.
5. Tạo phiên học. Nếu camera hoặc chia sẻ đang bật, mở khoảng visual.</t>
  </si>
  <si>
    <t>Phòng không theo dõi hoặc người tham gia là bot: bỏ qua. Sự kiện trùng: không tạo thêm phiên. Đang có phiên ở phòng khác: dùng STUDY-04.</t>
  </si>
  <si>
    <t>Vào phòng được chọn là tính tổng giờ, không cần bật camera. Chưa đăng nhập website vẫn tính. Không mở hai phiên Discord đồng thời cho cùng người dùng.</t>
  </si>
  <si>
    <t>Đọc cấu hình phòng và định danh. Ghi phiên học và khoảng visual nếu có.</t>
  </si>
  <si>
    <t>ROOM-01, IDENTITY-01, STUDY-02, STUDY-03, STUDY-04</t>
  </si>
  <si>
    <t>Cách đối chiếu trạng thái khi bot khởi động/mất kết nối. Không tự suy ra toàn bộ thời gian bot không quan sát được.</t>
  </si>
  <si>
    <t>Không bật camera vẫn mở phiên. Người chưa đăng nhập web vẫn có lịch sử. Sự kiện lặp không tạo phiên trùng. Phòng ngoài danh sách không được tính.</t>
  </si>
  <si>
    <t>Về dòng STUDY-01 ở Tổng quan</t>
  </si>
  <si>
    <t>Người dùng bật/tắt camera hoặc chia sẻ.
Sự kiện Discord thay đổi trạng thái visual
Nội bộ: updateVisualState</t>
  </si>
  <si>
    <t>Có phiên học đang mở trong phòng được theo dõi.</t>
  </si>
  <si>
    <t>1. Đọc trạng thái camera và chia sẻ màn hình.
2. Visual bật nếu ít nhất một trong hai đang bật.
3. Chuyển từ tắt sang bật: mở khoảng visual.
4. Chuyển từ bật sang tắt cả hai: đóng khoảng.
5. Trạng thái visual không đổi: giữ nguyên.</t>
  </si>
  <si>
    <t>Bật cả camera và chia sẻ: vẫn một khoảng. Tắt camera nhưng còn chia sẻ: khoảng tiếp tục. Không có phiên hợp lệ: không tạo khoảng visual độc lập.</t>
  </si>
  <si>
    <t>Visual = camera HOẶC chia sẻ màn hình. Thời gian chồng nhau tính một lần. Visual nằm trong tổng thời gian học, không cộng thêm vào tổng. Mute/deafen không dừng tổng giờ.</t>
  </si>
  <si>
    <t>Đọc phiên đang mở. Mở/đóng khoảng visual và cập nhật trạng thái quan sát cần thiết.</t>
  </si>
  <si>
    <t>STUDY-01, STUDY-03, STUDY-04, STUDY-06</t>
  </si>
  <si>
    <t>Cách SDK cung cấp trạng thái camera/chia sẻ và thứ tự sự kiện cần xác minh khi tích hợp.</t>
  </si>
  <si>
    <t>Cam bật 10 phút, chia sẻ bật cùng lúc 5 phút: visual vẫn 10 phút. Tắt một nguồn khi nguồn kia còn bật không đóng khoảng. Rời phòng đóng visual.</t>
  </si>
  <si>
    <t>Về dòng STUDY-02 ở Tổng quan</t>
  </si>
  <si>
    <t>Người dùng rời phòng hoặc sang phòng không theo dõi.
Sự kiện Discord rời voice channel
Nội bộ: endStudySession</t>
  </si>
  <si>
    <t>Có phiên học đang mở tương ứng với phòng cũ.</t>
  </si>
  <si>
    <t>1. Nhận trạng thái rời phòng và thời điểm kết thúc.
2. Xác định đúng phiên cần đóng.
3. Đóng khoảng visual đang mở tại cùng thời điểm.
4. Đóng phiên học, lưu lý do kết thúc.
5. Dữ liệu sẵn sàng cho lịch sử, thống kê và xếp hạng.</t>
  </si>
  <si>
    <t>Phiên đã đóng hoặc sự kiện lặp: không đóng lần nữa. Sự kiện cũ của phòng trước không được đóng phiên mới ở phòng khác.</t>
  </si>
  <si>
    <t>Rời phòng là dừng tính giờ. Thời điểm kết thúc không trước thời điểm bắt đầu. Tổng giờ không âm, visual không vượt tổng giờ.</t>
  </si>
  <si>
    <t>Cập nhật phiên học và khoảng visual đang mở.</t>
  </si>
  <si>
    <t>STUDY-01, STUDY-02, STUDY-04, STUDY-05, RANK-01</t>
  </si>
  <si>
    <t>Chính sách khi bot mất kết nối/restart; dùng checkpoint và đóng tại lần quan sát cuối là phương án cần xác nhận. Chính sách tắt phòng khi đang học ở ROOM-02.</t>
  </si>
  <si>
    <t>Rời phòng đóng cả phiên và visual. Xử lý hai lần vẫn cho cùng kết quả. Sự kiện cũ không đóng nhầm phiên mới.</t>
  </si>
  <si>
    <t>Về dòng STUDY-03 ở Tổng quan</t>
  </si>
  <si>
    <t>Người dùng chuyển voice channel.
Sự kiện Discord đổi voice channel
Nội bộ: transitionStudyRoom</t>
  </si>
  <si>
    <t>Biết phòng cũ, phòng mới và thời điểm chuyển.</t>
  </si>
  <si>
    <t>1. Kiểm tra trạng thái theo dõi của hai phòng.
2. Phòng cũ được theo dõi: gọi STUDY-03.
3. Phòng mới được theo dõi: gọi STUDY-01.
4. Chuyển giữa hai phòng học: kết thúc cũ và bắt đầu mới cùng một thời điểm.
5. Khởi tạo visual theo trạng thái ở phòng mới.</t>
  </si>
  <si>
    <t>Từ phòng không theo dõi vào phòng học: chỉ mở phiên. Từ phòng học ra ngoài: chỉ đóng phiên. Cả hai không theo dõi: bỏ qua.</t>
  </si>
  <si>
    <t>Không cộng chồng thời gian giữa hai phòng. Không mang khoảng visual của phiên cũ sang phiên mới. Sự kiện lặp không sinh thêm phiên.</t>
  </si>
  <si>
    <t>Đọc hai cấu hình phòng. Đóng phiên cũ, mở phiên mới và các khoảng visual tương ứng.</t>
  </si>
  <si>
    <t>STUDY-01, STUDY-02, STUDY-03</t>
  </si>
  <si>
    <t>Cách xử lý chuyển phòng đồng thời với thay đổi cấu hình theo dõi.</t>
  </si>
  <si>
    <t>Phòng A sang B chỉ có một phiên đang mở ở B. A sang ngoài không còn phiên. Ngoài vào B mở đúng một phiên. Tổng giờ không bị nhân đôi.</t>
  </si>
  <si>
    <t>Về dòng STUDY-04 ở Tổng quan</t>
  </si>
  <si>
    <t>Người dùng mở lịch sử và chọn bộ lọc.
Đề xuất: GET /api/v1/me/study-sessions</t>
  </si>
  <si>
    <t>Người dùng đã đăng nhập website.</t>
  </si>
  <si>
    <t>1. Website gửi bộ lọc thời gian và phân trang.
2. Backend lấy người dùng từ phiên đăng nhập.
3. Kiểm tra bộ lọc.
4. Lấy các phiên và tổng số bản ghi phù hợp.
5. Trả thời điểm, phòng, tổng thời lượng và visual.</t>
  </si>
  <si>
    <t>Không có dữ liệu: danh sách rỗng. Khoảng ngày sai: báo lỗi. Chưa đăng nhập: yêu cầu đăng nhập.</t>
  </si>
  <si>
    <t>Không dùng user ID tùy ý do client gửi để xem lịch sử người khác. Phân trang có giới hạn. Phiên đang mở phải có nhãn đang học, không giả là đã kết thúc.</t>
  </si>
  <si>
    <t>Đọc phiên học, khoảng visual và thông tin phòng.</t>
  </si>
  <si>
    <t>AUTH-01, STUDY-03, STUDY-06</t>
  </si>
  <si>
    <t>Bộ lọc cụ thể, sắp xếp mặc định, giới hạn trang; có hiển thị phiên đang mở hay chỉ phiên đã đóng.</t>
  </si>
  <si>
    <t>Tài khoản thấy cả phiên học trước lần đăng nhập web đầu tiên. Không thấy lịch sử người khác. Lọc ngày và tổng số bản ghi đúng.</t>
  </si>
  <si>
    <t>Về dòng STUDY-05 ở Tổng quan</t>
  </si>
  <si>
    <t>Người dùng mở thống kê và chọn kỳ.
Đề xuất: GET /api/v1/me/study-stats</t>
  </si>
  <si>
    <t>Có tài khoản đăng nhập. Kỳ thống kê hợp lệ.</t>
  </si>
  <si>
    <t>1. Xác định người dùng và khoảng thời gian.
2. Đọc các phiên giao với khoảng đã chọn.
3. Tính phần thời gian thuộc kỳ và các khoảng visual tương ứng.
4. Cộng thời lượng.
5. Trả số liệu để website hiển thị tiến bộ.</t>
  </si>
  <si>
    <t>Không có phiên: thời lượng bằng 0. Phiên qua nửa đêm hoặc qua kỳ: chỉ tính phần giao với kỳ cần xem.</t>
  </si>
  <si>
    <t>Tổng giờ và visual là hai chỉ số riêng, không cộng vào nhau. Lưu mốc thời gian UTC, báo cáo theo múi giờ Việt Nam. Cộng thời lượng trước khi làm tròn xuống giây. Kỳ dùng đầu bao gồm, cuối không bao gồm.</t>
  </si>
  <si>
    <t>Đọc phiên học và khoảng visual. Không cần bảng tổng hợp riêng khi chưa có nhu cầu tối ưu.</t>
  </si>
  <si>
    <t>STUDY-05, PROFILE-01, RANK-01</t>
  </si>
  <si>
    <t>Danh sách kỳ ngày/tuần/tháng/tất cả và biểu đồ cụ thể; số liệu trực tiếp từ phiên đang mở hay chỉ phiên đã đóng. Mặc định đề xuất: tuần bắt đầu thứ Hai.</t>
  </si>
  <si>
    <t>Phiên qua nửa đêm được chia đúng kỳ. Visual không vượt tổng giờ. Các đoạn ngắn không bị mất do làm tròn từng đoạn. Không dữ liệu hiển thị 0.</t>
  </si>
  <si>
    <t>Về dòng STUDY-06 ở Tổng quan</t>
  </si>
  <si>
    <t>Hồ sơ. feature.profile (gợi ý) + feature.identity (cách đặt package đề xuất).</t>
  </si>
  <si>
    <t>Người dùng mở trang hồ sơ.
Đề xuất: GET /api/v1/me
Dùng thêm API STUDY-06 khi cần</t>
  </si>
  <si>
    <t>1. Xác định tài khoản đang đăng nhập.
2. Lấy thông tin hiển thị và định danh cần thiết.
3. Lấy thống kê qua STUDY-06.
4. Hiển thị hồ sơ, tổng giờ và visual.</t>
  </si>
  <si>
    <t>Chưa có giờ học: hồ sơ vẫn hiển thị, số liệu bằng 0. Tải thống kê lỗi: thông tin tài khoản vẫn có thể hiển thị kèm trạng thái lỗi.</t>
  </si>
  <si>
    <t>Không trả token, bí mật OAuth hoặc dữ liệu định danh không cần thiết. Hồ sơ công khai của người khác phụ thuộc quyền xem chưa được chốt.</t>
  </si>
  <si>
    <t>Đọc người dùng và thống kê học. Avatar/tên từ Discord tùy chính sách đồng bộ được chọn.</t>
  </si>
  <si>
    <t>AUTH-01, IDENTITY-01, STUDY-06</t>
  </si>
  <si>
    <t>Trường hồ sơ, quyền chỉnh sửa tên/avatar, phạm vi hồ sơ công khai. Thành tựu chưa có luật cụ thể, để ở Ý tưởng.</t>
  </si>
  <si>
    <t>Hồ sơ tương ứng đúng người đăng nhập. Có tổng giờ và visual tách riêng. Người chưa học vẫn mở được hồ sơ.</t>
  </si>
  <si>
    <t>Về dòng PROFILE-01 ở Tổng quan</t>
  </si>
  <si>
    <t>Xếp hạng. feature.leaderboard (cách đặt package đề xuất).</t>
  </si>
  <si>
    <t>Người dùng mở bảng xếp hạng và chọn kỳ.
Đề xuất: GET /api/v1/leaderboard</t>
  </si>
  <si>
    <t>Kỳ xếp hạng hợp lệ. Quyền xem áp dụng theo quyết định phân quyền sau này.</t>
  </si>
  <si>
    <t>1. Nhận kỳ và phân trang.
2. Tính thời lượng mỗi người trong kỳ.
3. So sánh theo tổng số giây giảm dần.
4. Gán đồng hạng nếu bằng số giây.
5. Trả người dùng, thời lượng và thứ hạng.</t>
  </si>
  <si>
    <t>Không có dữ liệu: bảng rỗng. Nhiều người cùng số giây: cùng hạng, kể cả khi nằm ở hai trang khác nhau.</t>
  </si>
  <si>
    <t>Bằng số giây thì đồng hạng. Không so sánh bằng giờ/phút đã làm tròn trên giao diện. Thời gian qua ranh giới kỳ tính phần thuộc kỳ. Visual không tự được cộng thêm hoặc quy đổi thành điểm.</t>
  </si>
  <si>
    <t>Đọc người dùng, phiên học và khoảng thời gian. Ban đầu có thể tính trực tiếp, chưa cần bảng leaderboard riêng.</t>
  </si>
  <si>
    <t>STUDY-03, STUDY-06, PROFILE-01</t>
  </si>
  <si>
    <t>Đồng hạng kiểu 1,2,2,4 hay 1,2,2,3; xếp tổng giờ hay có bảng visual riêng; có tính phiên đang mở không; chu kỳ cập nhật; người 0 giờ; khách được xem gì.</t>
  </si>
  <si>
    <t>Hai người cùng giây cùng hạng. Đồng hạng qua ranh giới trang vẫn đúng. Tổng giờ khớp thống kê cùng kỳ và cùng chính sách phiên.</t>
  </si>
  <si>
    <t>Về dòng RANK-01 ở Tổng quan</t>
  </si>
  <si>
    <t>Ý TƯỞNG MỞ RỘNG</t>
  </si>
  <si>
    <t>Các mục này chưa thuộc phạm vi đang xây. Khi quyết định làm, tách thành case và chuyển sang Tổng quan cùng Chi tiết case.</t>
  </si>
  <si>
    <t>Mã ý tưởng</t>
  </si>
  <si>
    <t>Nhóm</t>
  </si>
  <si>
    <t>Ý tưởng</t>
  </si>
  <si>
    <t>Mục đích</t>
  </si>
  <si>
    <t>Mô tả sơ bộ</t>
  </si>
  <si>
    <t>Điều cần làm rõ</t>
  </si>
  <si>
    <t>Quyết định</t>
  </si>
  <si>
    <t>IDEA-01</t>
  </si>
  <si>
    <t>Đăng ký tài khoản website</t>
  </si>
  <si>
    <t>Không bắt buộc dùng Discord.</t>
  </si>
  <si>
    <t>Đăng ký và đăng nhập bằng tài khoản nội bộ.</t>
  </si>
  <si>
    <t>Trường đăng ký, xác thực, khôi phục mật khẩu, chống tạo tài khoản hàng loạt.</t>
  </si>
  <si>
    <t>Đang cân nhắc</t>
  </si>
  <si>
    <t>IDEA-02</t>
  </si>
  <si>
    <t>Đăng nhập Google</t>
  </si>
  <si>
    <t>Thêm lựa chọn đăng nhập.</t>
  </si>
  <si>
    <t>Xác thực bằng Google, gắn định danh nhà cung cấp.</t>
  </si>
  <si>
    <t>Quy trình đăng nhập và khi nào liên kết với tài khoản có sẵn.</t>
  </si>
  <si>
    <t>IDEA-03</t>
  </si>
  <si>
    <t>Liên kết tài khoản Discord/web</t>
  </si>
  <si>
    <t>Dùng một hồ sơ cho nhiều nguồn học.</t>
  </si>
  <si>
    <t>Người dùng xác minh quyền sở hữu hai tài khoản rồi chủ động liên kết.</t>
  </si>
  <si>
    <t>Không tự ghép qua email/tên. Cần chốt gộp lịch sử, xung đột, chống đếm chồng và cách hủy liên kết.</t>
  </si>
  <si>
    <t>IDEA-04</t>
  </si>
  <si>
    <t>Học trực tiếp trên website</t>
  </si>
  <si>
    <t>Học ngoài Discord, vẫn theo dõi tiến bộ.</t>
  </si>
  <si>
    <t>Mở phiên học trên web và đồng bộ vào hồ sơ chung.</t>
  </si>
  <si>
    <t>Cách xác minh đang học, nhiều tab/thiết bị, học đồng thời Discord, mất kết nối.</t>
  </si>
  <si>
    <t>IDEA-05</t>
  </si>
  <si>
    <t>Phân quyền</t>
  </si>
  <si>
    <t>Thiết kế quyền owner/admin/user/khách</t>
  </si>
  <si>
    <t>Quy định ai xem và sửa được gì.</t>
  </si>
  <si>
    <t>Lập bảng quyền theo chức năng khi các tính năng đã rõ.</t>
  </si>
  <si>
    <t>Quyền quản trị phòng cần có khi triển khai. Quyền xem hồ sơ, thống kê, leaderboard của khách chưa chốt.</t>
  </si>
  <si>
    <t>IDEA-06</t>
  </si>
  <si>
    <t>Gamification</t>
  </si>
  <si>
    <t>Thành tựu và cấp bậc</t>
  </si>
  <si>
    <t>Ghi nhận cột mốc, khuyến khích học đều.</t>
  </si>
  <si>
    <t>Nhận thành tựu/cấp bậc từ hoạt động học có dữ liệu.</t>
  </si>
  <si>
    <t>Điều kiện nhận, mốc thời gian, cấp bậc, tránh nhận trùng. Chưa có công thức.</t>
  </si>
  <si>
    <t>IDEA-07</t>
  </si>
  <si>
    <t>Boss, vật phẩm và phần thưởng</t>
  </si>
  <si>
    <t>Tạo động lực học cùng nhau.</t>
  </si>
  <si>
    <t>Hoạt động học đóng góp vào boss/sự kiện, nhận phần thưởng.</t>
  </si>
  <si>
    <t>Quy đổi giờ học, cân bằng, vật phẩm, chống tự buff bằng tự khai hoạt động.</t>
  </si>
  <si>
    <t>IDEA-08</t>
  </si>
  <si>
    <t>Thói quen</t>
  </si>
  <si>
    <t>Sự kiện check-in sáng</t>
  </si>
  <si>
    <t>Khuyến khích dậy sớm và duy trì thói quen.</t>
  </si>
  <si>
    <t>Ví dụ check-in lúc 6h bằng camera trên web điện thoại.</t>
  </si>
  <si>
    <t>Khung giờ, dữ liệu lưu, quyền riêng tư, cách xác minh. Chỉ cho mở camera không đủ chứng minh chống giả.</t>
  </si>
  <si>
    <t>IDEA-09</t>
  </si>
  <si>
    <t>Đọc sách và hoạt động khác</t>
  </si>
  <si>
    <t>Mở rộng ngoài đếm giờ học.</t>
  </si>
  <si>
    <t>Sự kiện hoặc hoạt động có quy tắc và phần thưởng.</t>
  </si>
  <si>
    <t>Cách kiểm chứng khả thi. Không mặc định tự khai là bằng chứng hoàn thành.</t>
  </si>
  <si>
    <t>IDEA-10</t>
  </si>
  <si>
    <t>Cộng đồng</t>
  </si>
  <si>
    <t>Chat trên website</t>
  </si>
  <si>
    <t>Tăng tương tác giữa người dùng.</t>
  </si>
  <si>
    <t>Kênh chat cộng đồng hoặc trò chuyện trực tiếp.</t>
  </si>
  <si>
    <t>Phạm vi chat, quyền tham gia, lưu tin, kiểm duyệt và cơ chế thời gian thực.</t>
  </si>
  <si>
    <t>IDEA-11</t>
  </si>
  <si>
    <t>Trò chơi</t>
  </si>
  <si>
    <t>Cờ trên website</t>
  </si>
  <si>
    <t>Cho cả người chỉ muốn chơi cờ tham gia.</t>
  </si>
  <si>
    <t>Module trò chơi độc lập trong cùng website, dùng tài khoản chung khi phù hợp.</t>
  </si>
  <si>
    <t>Loại cờ, luật, ghép trận, chơi với người/bot, khách tham gia, thời gian thực.</t>
  </si>
  <si>
    <t>Rank</t>
  </si>
  <si>
    <t>Module2</t>
  </si>
  <si>
    <t>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</si>
</sst>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sz val="11"/>
      <color rgb="FF243047"/>
      <name val="Arial"/>
    </font>
    <font>
      <b/>
      <sz val="17"/>
      <color rgb="FF59428C"/>
      <name val="Arial"/>
    </font>
    <font>
      <sz val="11"/>
      <color rgb="FF657087"/>
      <name val="Arial"/>
    </font>
    <font>
      <b/>
      <sz val="11"/>
      <color rgb="FFFFFFFF"/>
      <name val="Arial"/>
    </font>
    <font>
      <b/>
      <sz val="11"/>
      <color rgb="FF243047"/>
      <name val="Arial"/>
    </font>
    <font>
      <u/>
      <sz val="11"/>
      <color rgb="FF3B62A0"/>
      <name val="Arial"/>
    </font>
    <font>
      <b/>
      <u/>
      <sz val="11"/>
      <color rgb="FF3B62A0"/>
      <name val="Arial"/>
    </font>
  </fonts>
  <fills count="7">
    <fill>
      <patternFill patternType="none"/>
    </fill>
    <fill>
      <patternFill patternType="gray125"/>
    </fill>
    <fill>
      <patternFill patternType="solid">
        <fgColor rgb="FFFFF2CC"/>
      </patternFill>
    </fill>
    <fill>
      <patternFill patternType="solid">
        <fgColor rgb="FF59428C"/>
      </patternFill>
    </fill>
    <fill>
      <patternFill patternType="solid">
        <fgColor rgb="FFF3EFFA"/>
      </patternFill>
    </fill>
    <fill>
      <patternFill patternType="solid">
        <fgColor rgb="FFFFFFFF"/>
      </patternFill>
    </fill>
    <fill>
      <patternFill patternType="solid">
        <fgColor rgb="FFF8F3E9"/>
      </patternFill>
    </fill>
  </fills>
  <borders count="1">
    <border>
      <left/>
      <right/>
      <top/>
      <bottom/>
      <diagonal/>
    </border>
  </borders>
  <cellStyleXfs count="1">
    <xf numFmtId="0" fontId="0" fillId="0" borderId="0"/>
  </cellStyleXfs>
  <cellXfs count="19">
    <xf numFmtId="0" fontId="0" fillId="0" borderId="0" xfId="0"/>
    <xf numFmtId="0" fontId="1" fillId="0" borderId="0" xfId="0" applyNumberFormat="1" applyFont="1" applyFill="1" applyBorder="1" applyAlignment="1">
      <alignment vertical="center" wrapText="1"/>
    </xf>
    <xf numFmtId="0" fontId="4" fillId="3" borderId="0" xfId="0" applyNumberFormat="1" applyFont="1" applyFill="1" applyBorder="1" applyAlignment="1">
      <alignment horizontal="center" vertical="center" wrapText="1"/>
    </xf>
    <xf numFmtId="0" fontId="1" fillId="4" borderId="0" xfId="0" applyNumberFormat="1" applyFont="1" applyFill="1" applyBorder="1" applyAlignment="1">
      <alignment vertical="top" wrapText="1"/>
    </xf>
    <xf numFmtId="0" fontId="1" fillId="5" borderId="0" xfId="0" applyNumberFormat="1" applyFont="1" applyFill="1" applyBorder="1" applyAlignment="1">
      <alignment vertical="top" wrapText="1"/>
    </xf>
    <xf numFmtId="0" fontId="4" fillId="3" borderId="0" xfId="0" applyNumberFormat="1" applyFont="1" applyFill="1" applyBorder="1" applyAlignment="1">
      <alignment horizontal="left" vertical="center" wrapText="1"/>
    </xf>
    <xf numFmtId="0" fontId="5" fillId="4" borderId="0" xfId="0" applyNumberFormat="1" applyFont="1" applyFill="1" applyBorder="1" applyAlignment="1">
      <alignment vertical="center" wrapText="1"/>
    </xf>
    <xf numFmtId="0" fontId="5" fillId="4" borderId="0" xfId="0" applyNumberFormat="1" applyFont="1" applyFill="1" applyBorder="1" applyAlignment="1">
      <alignment vertical="top" wrapText="1"/>
    </xf>
    <xf numFmtId="0" fontId="1" fillId="0" borderId="0" xfId="0" applyNumberFormat="1" applyFont="1" applyFill="1" applyBorder="1" applyAlignment="1">
      <alignment vertical="top" wrapText="1"/>
    </xf>
    <xf numFmtId="0" fontId="1" fillId="2" borderId="0" xfId="0" applyNumberFormat="1" applyFont="1" applyFill="1" applyBorder="1" applyAlignment="1">
      <alignment vertical="top" wrapText="1"/>
    </xf>
    <xf numFmtId="0" fontId="6" fillId="0" borderId="0" xfId="0" applyNumberFormat="1" applyFont="1" applyFill="1" applyBorder="1" applyAlignment="1">
      <alignment vertical="center" wrapText="1"/>
    </xf>
    <xf numFmtId="0" fontId="7" fillId="4" borderId="0" xfId="0" applyNumberFormat="1" applyFont="1" applyFill="1" applyBorder="1" applyAlignment="1">
      <alignment vertical="top" wrapText="1"/>
    </xf>
    <xf numFmtId="0" fontId="7" fillId="5" borderId="0" xfId="0" applyNumberFormat="1" applyFont="1" applyFill="1" applyBorder="1" applyAlignment="1">
      <alignment vertical="top" wrapText="1"/>
    </xf>
    <xf numFmtId="0" fontId="1" fillId="6" borderId="0" xfId="0" applyNumberFormat="1" applyFont="1" applyFill="1" applyBorder="1" applyAlignment="1">
      <alignment vertical="top" wrapText="1"/>
    </xf>
    <xf numFmtId="0" fontId="2" fillId="0" borderId="0" xfId="0" applyNumberFormat="1" applyFont="1" applyFill="1" applyBorder="1" applyAlignment="1">
      <alignment vertical="center" wrapText="1"/>
    </xf>
    <xf numFmtId="0" fontId="1" fillId="0" borderId="0" xfId="0" applyNumberFormat="1" applyFont="1" applyFill="1" applyBorder="1" applyAlignment="1">
      <alignment vertical="center" wrapText="1"/>
    </xf>
    <xf numFmtId="0" fontId="1" fillId="2"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 fillId="4" borderId="0" xfId="0" applyNumberFormat="1" applyFont="1" applyFill="1" applyBorder="1" applyAlignment="1">
      <alignment vertical="center" wrapText="1"/>
    </xf>
  </cellXfs>
  <cellStyles count="1">
    <cellStyle name="Normal" xfId="0" builtinId="0"/>
  </cellStyles>
  <dxfs count="20">
    <dxf>
      <font>
        <color rgb="FF9C3434"/>
      </font>
      <fill>
        <patternFill patternType="solid">
          <bgColor rgb="FFFBE6E6"/>
        </patternFill>
      </fill>
    </dxf>
    <dxf>
      <font>
        <color rgb="FF256546"/>
      </font>
      <fill>
        <patternFill patternType="solid">
          <bgColor rgb="FFE4F3EA"/>
        </patternFill>
      </fill>
    </dxf>
    <dxf>
      <font>
        <color rgb="FF965A17"/>
      </font>
      <fill>
        <patternFill patternType="solid">
          <bgColor rgb="FFFFF0DA"/>
        </patternFill>
      </fill>
    </dxf>
    <dxf>
      <font>
        <color rgb="FF27519B"/>
      </font>
      <fill>
        <patternFill patternType="solid">
          <bgColor rgb="FFE6EFFF"/>
        </patternFill>
      </fill>
    </dxf>
    <dxf>
      <font>
        <color rgb="FF657087"/>
      </font>
      <fill>
        <patternFill patternType="solid">
          <bgColor rgb="FFF0F2F5"/>
        </patternFill>
      </fill>
    </dxf>
    <dxf>
      <font>
        <color rgb="FF725720"/>
      </font>
      <fill>
        <patternFill patternType="solid">
          <bgColor rgb="FFFFF2CC"/>
        </patternFill>
      </fill>
    </dxf>
    <dxf>
      <font>
        <color rgb="FF9C3434"/>
      </font>
      <fill>
        <patternFill patternType="solid">
          <bgColor rgb="FFFBE6E6"/>
        </patternFill>
      </fill>
    </dxf>
    <dxf>
      <font>
        <color rgb="FF256546"/>
      </font>
      <fill>
        <patternFill patternType="solid">
          <bgColor rgb="FFE4F3EA"/>
        </patternFill>
      </fill>
    </dxf>
    <dxf>
      <font>
        <color rgb="FF965A17"/>
      </font>
      <fill>
        <patternFill patternType="solid">
          <bgColor rgb="FFFFF0DA"/>
        </patternFill>
      </fill>
    </dxf>
    <dxf>
      <font>
        <color rgb="FF27519B"/>
      </font>
      <fill>
        <patternFill patternType="solid">
          <bgColor rgb="FFE6EFFF"/>
        </patternFill>
      </fill>
    </dxf>
    <dxf>
      <font>
        <color rgb="FF657087"/>
      </font>
      <fill>
        <patternFill patternType="solid">
          <bgColor rgb="FFF0F2F5"/>
        </patternFill>
      </fill>
    </dxf>
    <dxf>
      <font>
        <color rgb="FF725720"/>
      </font>
      <fill>
        <patternFill patternType="solid">
          <bgColor rgb="FFFFF2CC"/>
        </patternFill>
      </fill>
    </dxf>
    <dxf>
      <font>
        <color rgb="FF256546"/>
      </font>
      <fill>
        <patternFill patternType="solid">
          <bgColor rgb="FFE4F3EA"/>
        </patternFill>
      </fill>
    </dxf>
    <dxf>
      <font>
        <color rgb="FF9C3434"/>
      </font>
      <fill>
        <patternFill patternType="solid">
          <bgColor rgb="FFFBE6E6"/>
        </patternFill>
      </fill>
    </dxf>
    <dxf>
      <font>
        <color rgb="FF256546"/>
      </font>
      <fill>
        <patternFill patternType="solid">
          <bgColor rgb="FFE4F3EA"/>
        </patternFill>
      </fill>
    </dxf>
    <dxf>
      <font>
        <color rgb="FF965A17"/>
      </font>
      <fill>
        <patternFill patternType="solid">
          <bgColor rgb="FFFFF0DA"/>
        </patternFill>
      </fill>
    </dxf>
    <dxf>
      <font>
        <color rgb="FF27519B"/>
      </font>
      <fill>
        <patternFill patternType="solid">
          <bgColor rgb="FFE6EFFF"/>
        </patternFill>
      </fill>
    </dxf>
    <dxf>
      <font>
        <color rgb="FF657087"/>
      </font>
      <fill>
        <patternFill patternType="solid">
          <bgColor rgb="FFF0F2F5"/>
        </patternFill>
      </fill>
    </dxf>
    <dxf>
      <font>
        <color rgb="FF725720"/>
      </font>
      <fill>
        <patternFill patternType="solid">
          <bgColor rgb="FFFFF2CC"/>
        </patternFill>
      </fill>
    </dxf>
    <dxf>
      <font>
        <b val="0"/>
        <i val="0"/>
        <strike val="0"/>
        <condense val="0"/>
        <extend val="0"/>
        <outline val="0"/>
        <shadow val="0"/>
        <u val="none"/>
        <vertAlign val="baseline"/>
        <sz val="11"/>
        <color rgb="FF243047"/>
        <name val="Arial"/>
        <scheme val="none"/>
      </font>
      <numFmt numFmtId="0" formatCode="General"/>
      <fill>
        <patternFill patternType="solid">
          <fgColor indexed="64"/>
          <bgColor rgb="FFF3EFFA"/>
        </patternFill>
      </fil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Cases" displayName="ProjectCases" ref="A8:I21" totalsRowShown="0">
  <autoFilter ref="A8:I21" xr:uid="{00000000-0009-0000-0100-000001000000}"/>
  <tableColumns count="9">
    <tableColumn id="9" xr3:uid="{73D9BA1E-4AA1-4E53-8B71-1A5F8EB27096}" name="Module" dataDxfId="19"/>
    <tableColumn id="1" xr3:uid="{00000000-0010-0000-0000-000001000000}" name="Module2"/>
    <tableColumn id="2" xr3:uid="{00000000-0010-0000-0000-000002000000}" name="Mã case"/>
    <tableColumn id="3" xr3:uid="{00000000-0010-0000-0000-000003000000}" name="Chức năng"/>
    <tableColumn id="4" xr3:uid="{00000000-0010-0000-0000-000004000000}" name="Điểm bắt đầu"/>
    <tableColumn id="5" xr3:uid="{00000000-0010-0000-0000-000005000000}" name="API / sự kiện"/>
    <tableColumn id="6" xr3:uid="{00000000-0010-0000-0000-000006000000}" name="Kết quả chính"/>
    <tableColumn id="7" xr3:uid="{00000000-0010-0000-0000-000007000000}" name="Tiến độ"/>
    <tableColumn id="8" xr3:uid="{00000000-0010-0000-0000-000008000000}" name="Màn hình"/>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utureIdeas" displayName="FutureIdeas" ref="A5:G16" totalsRowShown="0">
  <autoFilter ref="A5:G16" xr:uid="{00000000-0009-0000-0100-000002000000}"/>
  <tableColumns count="7">
    <tableColumn id="1" xr3:uid="{00000000-0010-0000-0100-000001000000}" name="Mã ý tưởng"/>
    <tableColumn id="2" xr3:uid="{00000000-0010-0000-0100-000002000000}" name="Nhóm"/>
    <tableColumn id="3" xr3:uid="{00000000-0010-0000-0100-000003000000}" name="Ý tưởng"/>
    <tableColumn id="4" xr3:uid="{00000000-0010-0000-0100-000004000000}" name="Mục đích"/>
    <tableColumn id="5" xr3:uid="{00000000-0010-0000-0100-000005000000}" name="Mô tả sơ bộ"/>
    <tableColumn id="6" xr3:uid="{00000000-0010-0000-0100-000006000000}" name="Điều cần làm rõ"/>
    <tableColumn id="7" xr3:uid="{00000000-0010-0000-0100-000007000000}" name="Quyết định"/>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9428C"/>
  </sheetPr>
  <dimension ref="A1:I25"/>
  <sheetViews>
    <sheetView showGridLines="0" tabSelected="1" workbookViewId="0">
      <pane xSplit="3" ySplit="8" topLeftCell="D9" activePane="bottomRight" state="frozen"/>
      <selection pane="topRight"/>
      <selection pane="bottomLeft"/>
      <selection pane="bottomRight" activeCell="C21" sqref="C21"/>
    </sheetView>
  </sheetViews>
  <sheetFormatPr defaultRowHeight="14.25"/>
  <cols>
    <col min="1" max="1" width="18" customWidth="1"/>
    <col min="2" max="2" width="16" customWidth="1"/>
    <col min="3" max="3" width="28" customWidth="1"/>
    <col min="4" max="4" width="27" customWidth="1"/>
    <col min="5" max="5" width="39" customWidth="1"/>
    <col min="6" max="6" width="40" customWidth="1"/>
    <col min="7" max="7" width="22" customWidth="1"/>
    <col min="8" max="8" width="27" customWidth="1"/>
    <col min="9" max="9" width="16.625" customWidth="1"/>
  </cols>
  <sheetData>
    <row r="1" spans="1:9">
      <c r="A1" s="1"/>
      <c r="B1" s="1"/>
      <c r="C1" s="1"/>
      <c r="D1" s="1"/>
      <c r="E1" s="1"/>
      <c r="F1" s="1"/>
      <c r="G1" s="1"/>
      <c r="H1" s="1"/>
    </row>
    <row r="2" spans="1:9" ht="33" customHeight="1">
      <c r="A2" s="14" t="s">
        <v>0</v>
      </c>
      <c r="B2" s="14"/>
      <c r="C2" s="14"/>
      <c r="D2" s="14"/>
      <c r="E2" s="14"/>
      <c r="F2" s="14"/>
      <c r="G2" s="14"/>
      <c r="H2" s="14"/>
    </row>
    <row r="3" spans="1:9" ht="27.95" customHeight="1">
      <c r="A3" s="15" t="s">
        <v>1</v>
      </c>
      <c r="B3" s="15"/>
      <c r="C3" s="15"/>
      <c r="D3" s="15"/>
      <c r="E3" s="15"/>
      <c r="F3" s="15"/>
      <c r="G3" s="15"/>
      <c r="H3" s="15"/>
    </row>
    <row r="4" spans="1:9" ht="27.95" customHeight="1">
      <c r="A4" s="15" t="s">
        <v>2</v>
      </c>
      <c r="B4" s="15"/>
      <c r="C4" s="15"/>
      <c r="D4" s="15"/>
      <c r="E4" s="15"/>
      <c r="F4" s="15"/>
      <c r="G4" s="15"/>
      <c r="H4" s="15"/>
    </row>
    <row r="5" spans="1:9" ht="27.95" customHeight="1">
      <c r="A5" s="16" t="s">
        <v>3</v>
      </c>
      <c r="B5" s="16"/>
      <c r="C5" s="16"/>
      <c r="D5" s="16"/>
      <c r="E5" s="16"/>
      <c r="F5" s="16"/>
      <c r="G5" s="16"/>
      <c r="H5" s="16"/>
    </row>
    <row r="6" spans="1:9" ht="26.1" customHeight="1">
      <c r="A6" s="17" t="s">
        <v>4</v>
      </c>
      <c r="B6" s="17"/>
      <c r="C6" s="17"/>
      <c r="D6" s="17"/>
      <c r="E6" s="17"/>
      <c r="F6" s="17"/>
      <c r="G6" s="17"/>
      <c r="H6" s="17"/>
    </row>
    <row r="7" spans="1:9">
      <c r="A7" s="1"/>
      <c r="B7" s="1"/>
      <c r="C7" s="1"/>
      <c r="D7" s="1"/>
      <c r="E7" s="1"/>
      <c r="F7" s="1"/>
      <c r="G7" s="1"/>
      <c r="H7" s="1"/>
    </row>
    <row r="8" spans="1:9" ht="33.950000000000003" customHeight="1">
      <c r="A8" s="2" t="s">
        <v>5</v>
      </c>
      <c r="B8" s="2" t="s">
        <v>312</v>
      </c>
      <c r="C8" s="2" t="s">
        <v>6</v>
      </c>
      <c r="D8" s="2" t="s">
        <v>7</v>
      </c>
      <c r="E8" s="2" t="s">
        <v>8</v>
      </c>
      <c r="F8" s="2" t="s">
        <v>9</v>
      </c>
      <c r="G8" s="2" t="s">
        <v>10</v>
      </c>
      <c r="H8" s="2" t="s">
        <v>11</v>
      </c>
      <c r="I8" s="2" t="s">
        <v>12</v>
      </c>
    </row>
    <row r="9" spans="1:9" ht="54" customHeight="1">
      <c r="A9" s="3" t="s">
        <v>313</v>
      </c>
      <c r="B9" s="3" t="s">
        <v>13</v>
      </c>
      <c r="C9" s="11" t="s">
        <v>14</v>
      </c>
      <c r="D9" s="3" t="s">
        <v>15</v>
      </c>
      <c r="E9" s="3" t="s">
        <v>16</v>
      </c>
      <c r="F9" s="3" t="s">
        <v>17</v>
      </c>
      <c r="G9" s="3" t="s">
        <v>18</v>
      </c>
      <c r="H9" s="3" t="s">
        <v>19</v>
      </c>
      <c r="I9" s="3" t="s">
        <v>20</v>
      </c>
    </row>
    <row r="10" spans="1:9" ht="54" customHeight="1">
      <c r="A10" s="4" t="s">
        <v>313</v>
      </c>
      <c r="B10" s="4" t="s">
        <v>13</v>
      </c>
      <c r="C10" s="12" t="s">
        <v>21</v>
      </c>
      <c r="D10" s="4" t="s">
        <v>22</v>
      </c>
      <c r="E10" s="4" t="s">
        <v>23</v>
      </c>
      <c r="F10" s="4" t="s">
        <v>24</v>
      </c>
      <c r="G10" s="4" t="s">
        <v>25</v>
      </c>
      <c r="H10" s="4" t="s">
        <v>19</v>
      </c>
      <c r="I10" s="4" t="s">
        <v>20</v>
      </c>
    </row>
    <row r="11" spans="1:9" ht="54" customHeight="1">
      <c r="A11" s="3"/>
      <c r="B11" s="3" t="s">
        <v>26</v>
      </c>
      <c r="C11" s="11" t="s">
        <v>27</v>
      </c>
      <c r="D11" s="3" t="s">
        <v>28</v>
      </c>
      <c r="E11" s="3" t="s">
        <v>29</v>
      </c>
      <c r="F11" s="3" t="s">
        <v>30</v>
      </c>
      <c r="G11" s="3" t="s">
        <v>31</v>
      </c>
      <c r="H11" s="3" t="s">
        <v>19</v>
      </c>
      <c r="I11" s="3" t="s">
        <v>32</v>
      </c>
    </row>
    <row r="12" spans="1:9" ht="54" customHeight="1">
      <c r="A12" s="4"/>
      <c r="B12" s="4" t="s">
        <v>26</v>
      </c>
      <c r="C12" s="12" t="s">
        <v>33</v>
      </c>
      <c r="D12" s="4" t="s">
        <v>34</v>
      </c>
      <c r="E12" s="4" t="s">
        <v>35</v>
      </c>
      <c r="F12" s="4" t="s">
        <v>36</v>
      </c>
      <c r="G12" s="4" t="s">
        <v>37</v>
      </c>
      <c r="H12" s="4" t="s">
        <v>19</v>
      </c>
      <c r="I12" s="4" t="s">
        <v>38</v>
      </c>
    </row>
    <row r="13" spans="1:9" ht="54" customHeight="1">
      <c r="A13" s="3"/>
      <c r="B13" s="3" t="s">
        <v>26</v>
      </c>
      <c r="C13" s="11" t="s">
        <v>39</v>
      </c>
      <c r="D13" s="3" t="s">
        <v>40</v>
      </c>
      <c r="E13" s="3" t="s">
        <v>41</v>
      </c>
      <c r="F13" s="3" t="s">
        <v>42</v>
      </c>
      <c r="G13" s="3" t="s">
        <v>43</v>
      </c>
      <c r="H13" s="3" t="s">
        <v>19</v>
      </c>
      <c r="I13" s="3" t="s">
        <v>44</v>
      </c>
    </row>
    <row r="14" spans="1:9" ht="54" customHeight="1">
      <c r="A14" s="4" t="s">
        <v>313</v>
      </c>
      <c r="B14" s="4" t="s">
        <v>45</v>
      </c>
      <c r="C14" s="12" t="s">
        <v>46</v>
      </c>
      <c r="D14" s="4" t="s">
        <v>47</v>
      </c>
      <c r="E14" s="4" t="s">
        <v>48</v>
      </c>
      <c r="F14" s="4" t="s">
        <v>49</v>
      </c>
      <c r="G14" s="4" t="s">
        <v>50</v>
      </c>
      <c r="H14" s="4" t="s">
        <v>19</v>
      </c>
      <c r="I14" s="4" t="s">
        <v>51</v>
      </c>
    </row>
    <row r="15" spans="1:9" ht="54" customHeight="1">
      <c r="A15" s="3" t="s">
        <v>313</v>
      </c>
      <c r="B15" s="3" t="s">
        <v>45</v>
      </c>
      <c r="C15" s="11" t="s">
        <v>52</v>
      </c>
      <c r="D15" s="3" t="s">
        <v>53</v>
      </c>
      <c r="E15" s="3" t="s">
        <v>54</v>
      </c>
      <c r="F15" s="3" t="s">
        <v>55</v>
      </c>
      <c r="G15" s="3" t="s">
        <v>56</v>
      </c>
      <c r="H15" s="3" t="s">
        <v>19</v>
      </c>
      <c r="I15" s="3" t="s">
        <v>51</v>
      </c>
    </row>
    <row r="16" spans="1:9" ht="54" customHeight="1">
      <c r="A16" s="4" t="s">
        <v>313</v>
      </c>
      <c r="B16" s="4" t="s">
        <v>45</v>
      </c>
      <c r="C16" s="12" t="s">
        <v>57</v>
      </c>
      <c r="D16" s="4" t="s">
        <v>58</v>
      </c>
      <c r="E16" s="4" t="s">
        <v>59</v>
      </c>
      <c r="F16" s="4" t="s">
        <v>60</v>
      </c>
      <c r="G16" s="4" t="s">
        <v>61</v>
      </c>
      <c r="H16" s="4" t="s">
        <v>19</v>
      </c>
      <c r="I16" s="4" t="s">
        <v>51</v>
      </c>
    </row>
    <row r="17" spans="1:9" ht="54" customHeight="1">
      <c r="A17" s="3" t="s">
        <v>313</v>
      </c>
      <c r="B17" s="3" t="s">
        <v>45</v>
      </c>
      <c r="C17" s="11" t="s">
        <v>62</v>
      </c>
      <c r="D17" s="3" t="s">
        <v>63</v>
      </c>
      <c r="E17" s="3" t="s">
        <v>64</v>
      </c>
      <c r="F17" s="3" t="s">
        <v>65</v>
      </c>
      <c r="G17" s="3" t="s">
        <v>66</v>
      </c>
      <c r="H17" s="3" t="s">
        <v>19</v>
      </c>
      <c r="I17" s="3" t="s">
        <v>51</v>
      </c>
    </row>
    <row r="18" spans="1:9" ht="54" customHeight="1">
      <c r="A18" s="4" t="s">
        <v>313</v>
      </c>
      <c r="B18" s="4" t="s">
        <v>45</v>
      </c>
      <c r="C18" s="12" t="s">
        <v>67</v>
      </c>
      <c r="D18" s="4" t="s">
        <v>68</v>
      </c>
      <c r="E18" s="4" t="s">
        <v>69</v>
      </c>
      <c r="F18" s="4" t="s">
        <v>70</v>
      </c>
      <c r="G18" s="4" t="s">
        <v>71</v>
      </c>
      <c r="H18" s="4" t="s">
        <v>19</v>
      </c>
      <c r="I18" s="4" t="s">
        <v>72</v>
      </c>
    </row>
    <row r="19" spans="1:9" ht="54" customHeight="1">
      <c r="A19" s="3" t="s">
        <v>313</v>
      </c>
      <c r="B19" s="3" t="s">
        <v>45</v>
      </c>
      <c r="C19" s="11" t="s">
        <v>73</v>
      </c>
      <c r="D19" s="3" t="s">
        <v>74</v>
      </c>
      <c r="E19" s="3" t="s">
        <v>75</v>
      </c>
      <c r="F19" s="3" t="s">
        <v>76</v>
      </c>
      <c r="G19" s="3" t="s">
        <v>77</v>
      </c>
      <c r="H19" s="3" t="s">
        <v>19</v>
      </c>
      <c r="I19" s="3" t="s">
        <v>78</v>
      </c>
    </row>
    <row r="20" spans="1:9" ht="54" customHeight="1">
      <c r="A20" s="4"/>
      <c r="B20" s="4" t="s">
        <v>79</v>
      </c>
      <c r="C20" s="12" t="s">
        <v>80</v>
      </c>
      <c r="D20" s="4" t="s">
        <v>81</v>
      </c>
      <c r="E20" s="4" t="s">
        <v>82</v>
      </c>
      <c r="F20" s="4" t="s">
        <v>83</v>
      </c>
      <c r="G20" s="4" t="s">
        <v>84</v>
      </c>
      <c r="H20" s="4" t="s">
        <v>19</v>
      </c>
      <c r="I20" s="4" t="s">
        <v>79</v>
      </c>
    </row>
    <row r="21" spans="1:9" ht="54" customHeight="1">
      <c r="A21" s="3"/>
      <c r="B21" s="3" t="s">
        <v>311</v>
      </c>
      <c r="C21" s="11" t="s">
        <v>85</v>
      </c>
      <c r="D21" s="3" t="s">
        <v>86</v>
      </c>
      <c r="E21" s="3" t="s">
        <v>87</v>
      </c>
      <c r="F21" s="3" t="s">
        <v>88</v>
      </c>
      <c r="G21" s="3" t="s">
        <v>89</v>
      </c>
      <c r="H21" s="3" t="s">
        <v>19</v>
      </c>
      <c r="I21" s="3" t="s">
        <v>90</v>
      </c>
    </row>
    <row r="22" spans="1:9">
      <c r="A22" s="1"/>
      <c r="B22" s="1"/>
      <c r="C22" s="1"/>
      <c r="D22" s="1"/>
      <c r="E22" s="1"/>
      <c r="F22" s="1"/>
      <c r="G22" s="1"/>
      <c r="H22" s="1"/>
    </row>
    <row r="23" spans="1:9">
      <c r="A23" s="1"/>
      <c r="B23" s="1"/>
      <c r="C23" s="1"/>
      <c r="D23" s="1"/>
      <c r="E23" s="1"/>
      <c r="F23" s="1"/>
      <c r="G23" s="1"/>
      <c r="H23" s="1"/>
    </row>
    <row r="24" spans="1:9">
      <c r="A24" s="1"/>
      <c r="B24" s="1"/>
      <c r="C24" s="1"/>
      <c r="D24" s="1"/>
      <c r="E24" s="1"/>
      <c r="F24" s="1"/>
      <c r="G24" s="1"/>
      <c r="H24" s="1"/>
    </row>
    <row r="25" spans="1:9">
      <c r="A25" s="1"/>
      <c r="B25" s="1"/>
      <c r="C25" s="1"/>
      <c r="D25" s="1"/>
      <c r="E25" s="1"/>
      <c r="F25" s="1"/>
      <c r="G25" s="1"/>
      <c r="H25" s="1"/>
    </row>
  </sheetData>
  <mergeCells count="5">
    <mergeCell ref="A2:H2"/>
    <mergeCell ref="A3:H3"/>
    <mergeCell ref="A4:H4"/>
    <mergeCell ref="A5:H5"/>
    <mergeCell ref="A6:H6"/>
  </mergeCells>
  <conditionalFormatting sqref="G22:G208 H9:H21">
    <cfRule type="cellIs" dxfId="18" priority="1" operator="equal">
      <formula>"Chưa xác nhận"</formula>
    </cfRule>
    <cfRule type="cellIs" dxfId="17" priority="2" operator="equal">
      <formula>"Chưa bắt đầu"</formula>
    </cfRule>
    <cfRule type="cellIs" dxfId="16" priority="3" operator="equal">
      <formula>"Đang làm"</formula>
    </cfRule>
    <cfRule type="cellIs" dxfId="15" priority="4" operator="equal">
      <formula>"Chờ kiểm tra"</formula>
    </cfRule>
    <cfRule type="cellIs" dxfId="14" priority="5" operator="equal">
      <formula>"Hoàn thành"</formula>
    </cfRule>
    <cfRule type="cellIs" dxfId="13" priority="6" operator="equal">
      <formula>"Tạm dừng"</formula>
    </cfRule>
  </conditionalFormatting>
  <dataValidations count="1">
    <dataValidation type="list" sqref="G22:G208 H9:H21" xr:uid="{00000000-0002-0000-0000-000000000000}">
      <formula1>"Chưa xác nhận,Chưa bắt đầu,Đang làm,Chờ kiểm tra,Hoàn thành,Tạm dừng"</formula1>
    </dataValidation>
  </dataValidations>
  <hyperlinks>
    <hyperlink ref="C9" location="'Chi tiết case'!A6" display="ROOM-01" xr:uid="{00000000-0004-0000-0000-000000000000}"/>
    <hyperlink ref="C10" location="'Chi tiết case'!A23" display="ROOM-02" xr:uid="{00000000-0004-0000-0000-000001000000}"/>
    <hyperlink ref="C11" location="'Chi tiết case'!A40" display="IDENTITY-01" xr:uid="{00000000-0004-0000-0000-000002000000}"/>
    <hyperlink ref="C13" location="'Chi tiết case'!A74" display="AUTH-02" xr:uid="{00000000-0004-0000-0000-000004000000}"/>
    <hyperlink ref="C14" location="'Chi tiết case'!A91" display="STUDY-01" xr:uid="{00000000-0004-0000-0000-000005000000}"/>
    <hyperlink ref="C15" location="'Chi tiết case'!A108" display="STUDY-02" xr:uid="{00000000-0004-0000-0000-000006000000}"/>
    <hyperlink ref="C16" location="'Chi tiết case'!A125" display="STUDY-03" xr:uid="{00000000-0004-0000-0000-000007000000}"/>
    <hyperlink ref="C17" location="'Chi tiết case'!A142" display="STUDY-04" xr:uid="{00000000-0004-0000-0000-000008000000}"/>
    <hyperlink ref="C18" location="'Chi tiết case'!A159" display="STUDY-05" xr:uid="{00000000-0004-0000-0000-000009000000}"/>
    <hyperlink ref="C19" location="'Chi tiết case'!A176" display="STUDY-06" xr:uid="{00000000-0004-0000-0000-00000A000000}"/>
    <hyperlink ref="C20" location="'Chi tiết case'!A193" display="PROFILE-01" xr:uid="{00000000-0004-0000-0000-00000B000000}"/>
    <hyperlink ref="C21" location="'Chi tiết case'!A210" display="RANK-01" xr:uid="{00000000-0004-0000-0000-00000C000000}"/>
    <hyperlink ref="C12" location="'Chi tiết case'!A57" display="AUTH-01" xr:uid="{00000000-0004-0000-0000-000003000000}"/>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A70B4"/>
  </sheetPr>
  <dimension ref="A1:B240"/>
  <sheetViews>
    <sheetView showGridLines="0" workbookViewId="0">
      <pane ySplit="4" topLeftCell="A210" activePane="bottomLeft" state="frozen"/>
      <selection pane="bottomLeft" activeCell="F218" sqref="F218"/>
    </sheetView>
  </sheetViews>
  <sheetFormatPr defaultRowHeight="14.25"/>
  <cols>
    <col min="1" max="1" width="26" customWidth="1"/>
    <col min="2" max="2" width="116" customWidth="1"/>
  </cols>
  <sheetData>
    <row r="1" spans="1:2">
      <c r="A1" s="1"/>
      <c r="B1" s="1"/>
    </row>
    <row r="2" spans="1:2" ht="33" customHeight="1">
      <c r="A2" s="14" t="s">
        <v>91</v>
      </c>
      <c r="B2" s="14"/>
    </row>
    <row r="3" spans="1:2" ht="33.950000000000003" customHeight="1">
      <c r="A3" s="15" t="s">
        <v>92</v>
      </c>
      <c r="B3" s="15"/>
    </row>
    <row r="4" spans="1:2" ht="33.950000000000003" customHeight="1">
      <c r="A4" s="18" t="s">
        <v>93</v>
      </c>
      <c r="B4" s="18"/>
    </row>
    <row r="5" spans="1:2">
      <c r="A5" s="1"/>
      <c r="B5" s="1"/>
    </row>
    <row r="6" spans="1:2" ht="30.95" customHeight="1">
      <c r="A6" s="5" t="s">
        <v>14</v>
      </c>
      <c r="B6" s="5" t="s">
        <v>15</v>
      </c>
    </row>
    <row r="7" spans="1:2" ht="27" customHeight="1">
      <c r="A7" s="7" t="s">
        <v>94</v>
      </c>
      <c r="B7" s="8" t="s">
        <v>95</v>
      </c>
    </row>
    <row r="8" spans="1:2" ht="42" customHeight="1">
      <c r="A8" s="7" t="s">
        <v>8</v>
      </c>
      <c r="B8" s="8" t="s">
        <v>96</v>
      </c>
    </row>
    <row r="9" spans="1:2" ht="27" customHeight="1">
      <c r="A9" s="7" t="s">
        <v>97</v>
      </c>
      <c r="B9" s="8" t="s">
        <v>98</v>
      </c>
    </row>
    <row r="10" spans="1:2" ht="74.099999999999994" customHeight="1">
      <c r="A10" s="7" t="s">
        <v>99</v>
      </c>
      <c r="B10" s="8" t="s">
        <v>100</v>
      </c>
    </row>
    <row r="11" spans="1:2" ht="27" customHeight="1">
      <c r="A11" s="7" t="s">
        <v>101</v>
      </c>
      <c r="B11" s="8" t="s">
        <v>102</v>
      </c>
    </row>
    <row r="12" spans="1:2" ht="42" customHeight="1">
      <c r="A12" s="7" t="s">
        <v>103</v>
      </c>
      <c r="B12" s="8" t="s">
        <v>104</v>
      </c>
    </row>
    <row r="13" spans="1:2" ht="27" customHeight="1">
      <c r="A13" s="7" t="s">
        <v>105</v>
      </c>
      <c r="B13" s="8" t="s">
        <v>18</v>
      </c>
    </row>
    <row r="14" spans="1:2" ht="27" customHeight="1">
      <c r="A14" s="7" t="s">
        <v>106</v>
      </c>
      <c r="B14" s="8" t="s">
        <v>107</v>
      </c>
    </row>
    <row r="15" spans="1:2" ht="27" customHeight="1">
      <c r="A15" s="7" t="s">
        <v>108</v>
      </c>
      <c r="B15" s="8" t="s">
        <v>109</v>
      </c>
    </row>
    <row r="16" spans="1:2" ht="27" customHeight="1">
      <c r="A16" s="7" t="s">
        <v>12</v>
      </c>
      <c r="B16" s="8" t="s">
        <v>20</v>
      </c>
    </row>
    <row r="17" spans="1:2" ht="27" customHeight="1">
      <c r="A17" s="7" t="s">
        <v>110</v>
      </c>
      <c r="B17" s="8"/>
    </row>
    <row r="18" spans="1:2" ht="42" customHeight="1">
      <c r="A18" s="7" t="s">
        <v>111</v>
      </c>
      <c r="B18" s="9" t="s">
        <v>112</v>
      </c>
    </row>
    <row r="19" spans="1:2" ht="27" customHeight="1">
      <c r="A19" s="7" t="s">
        <v>113</v>
      </c>
      <c r="B19" s="8" t="s">
        <v>114</v>
      </c>
    </row>
    <row r="20" spans="1:2" ht="27" customHeight="1">
      <c r="A20" s="6" t="s">
        <v>11</v>
      </c>
      <c r="B20" s="1" t="str">
        <f>'Tổng quan'!H9</f>
        <v>Chưa xác nhận</v>
      </c>
    </row>
    <row r="21" spans="1:2" ht="27" customHeight="1">
      <c r="A21" s="1"/>
      <c r="B21" s="10" t="s">
        <v>115</v>
      </c>
    </row>
    <row r="22" spans="1:2">
      <c r="A22" s="1"/>
      <c r="B22" s="1"/>
    </row>
    <row r="23" spans="1:2" ht="30.95" customHeight="1">
      <c r="A23" s="5" t="s">
        <v>21</v>
      </c>
      <c r="B23" s="5" t="s">
        <v>22</v>
      </c>
    </row>
    <row r="24" spans="1:2" ht="27" customHeight="1">
      <c r="A24" s="7" t="s">
        <v>94</v>
      </c>
      <c r="B24" s="8" t="s">
        <v>95</v>
      </c>
    </row>
    <row r="25" spans="1:2" ht="57.95" customHeight="1">
      <c r="A25" s="7" t="s">
        <v>8</v>
      </c>
      <c r="B25" s="8" t="s">
        <v>116</v>
      </c>
    </row>
    <row r="26" spans="1:2" ht="27" customHeight="1">
      <c r="A26" s="7" t="s">
        <v>97</v>
      </c>
      <c r="B26" s="8" t="s">
        <v>117</v>
      </c>
    </row>
    <row r="27" spans="1:2" ht="74.099999999999994" customHeight="1">
      <c r="A27" s="7" t="s">
        <v>99</v>
      </c>
      <c r="B27" s="8" t="s">
        <v>118</v>
      </c>
    </row>
    <row r="28" spans="1:2" ht="27" customHeight="1">
      <c r="A28" s="7" t="s">
        <v>101</v>
      </c>
      <c r="B28" s="8" t="s">
        <v>119</v>
      </c>
    </row>
    <row r="29" spans="1:2" ht="27" customHeight="1">
      <c r="A29" s="7" t="s">
        <v>103</v>
      </c>
      <c r="B29" s="8" t="s">
        <v>120</v>
      </c>
    </row>
    <row r="30" spans="1:2" ht="27" customHeight="1">
      <c r="A30" s="7" t="s">
        <v>105</v>
      </c>
      <c r="B30" s="8" t="s">
        <v>25</v>
      </c>
    </row>
    <row r="31" spans="1:2" ht="27" customHeight="1">
      <c r="A31" s="7" t="s">
        <v>106</v>
      </c>
      <c r="B31" s="8" t="s">
        <v>121</v>
      </c>
    </row>
    <row r="32" spans="1:2" ht="27" customHeight="1">
      <c r="A32" s="7" t="s">
        <v>108</v>
      </c>
      <c r="B32" s="8" t="s">
        <v>122</v>
      </c>
    </row>
    <row r="33" spans="1:2" ht="27" customHeight="1">
      <c r="A33" s="7" t="s">
        <v>12</v>
      </c>
      <c r="B33" s="8" t="s">
        <v>20</v>
      </c>
    </row>
    <row r="34" spans="1:2" ht="27" customHeight="1">
      <c r="A34" s="7" t="s">
        <v>110</v>
      </c>
      <c r="B34" s="8"/>
    </row>
    <row r="35" spans="1:2" ht="42" customHeight="1">
      <c r="A35" s="7" t="s">
        <v>111</v>
      </c>
      <c r="B35" s="9" t="s">
        <v>123</v>
      </c>
    </row>
    <row r="36" spans="1:2" ht="42" customHeight="1">
      <c r="A36" s="7" t="s">
        <v>113</v>
      </c>
      <c r="B36" s="8" t="s">
        <v>124</v>
      </c>
    </row>
    <row r="37" spans="1:2" ht="27" customHeight="1">
      <c r="A37" s="6" t="s">
        <v>11</v>
      </c>
      <c r="B37" s="1" t="str">
        <f>'Tổng quan'!H10</f>
        <v>Chưa xác nhận</v>
      </c>
    </row>
    <row r="38" spans="1:2" ht="27" customHeight="1">
      <c r="A38" s="1"/>
      <c r="B38" s="10" t="s">
        <v>125</v>
      </c>
    </row>
    <row r="39" spans="1:2">
      <c r="A39" s="1"/>
      <c r="B39" s="1"/>
    </row>
    <row r="40" spans="1:2" ht="30.95" customHeight="1">
      <c r="A40" s="5" t="s">
        <v>27</v>
      </c>
      <c r="B40" s="5" t="s">
        <v>28</v>
      </c>
    </row>
    <row r="41" spans="1:2" ht="27" customHeight="1">
      <c r="A41" s="7" t="s">
        <v>94</v>
      </c>
      <c r="B41" s="8" t="s">
        <v>126</v>
      </c>
    </row>
    <row r="42" spans="1:2" ht="57.95" customHeight="1">
      <c r="A42" s="7" t="s">
        <v>8</v>
      </c>
      <c r="B42" s="8" t="s">
        <v>127</v>
      </c>
    </row>
    <row r="43" spans="1:2" ht="27" customHeight="1">
      <c r="A43" s="7" t="s">
        <v>97</v>
      </c>
      <c r="B43" s="8" t="s">
        <v>128</v>
      </c>
    </row>
    <row r="44" spans="1:2" ht="74.099999999999994" customHeight="1">
      <c r="A44" s="7" t="s">
        <v>99</v>
      </c>
      <c r="B44" s="8" t="s">
        <v>129</v>
      </c>
    </row>
    <row r="45" spans="1:2" ht="42" customHeight="1">
      <c r="A45" s="7" t="s">
        <v>101</v>
      </c>
      <c r="B45" s="8" t="s">
        <v>130</v>
      </c>
    </row>
    <row r="46" spans="1:2" ht="42" customHeight="1">
      <c r="A46" s="7" t="s">
        <v>103</v>
      </c>
      <c r="B46" s="8" t="s">
        <v>131</v>
      </c>
    </row>
    <row r="47" spans="1:2" ht="27" customHeight="1">
      <c r="A47" s="7" t="s">
        <v>105</v>
      </c>
      <c r="B47" s="8" t="s">
        <v>31</v>
      </c>
    </row>
    <row r="48" spans="1:2" ht="27" customHeight="1">
      <c r="A48" s="7" t="s">
        <v>106</v>
      </c>
      <c r="B48" s="8" t="s">
        <v>132</v>
      </c>
    </row>
    <row r="49" spans="1:2" ht="27" customHeight="1">
      <c r="A49" s="7" t="s">
        <v>108</v>
      </c>
      <c r="B49" s="8" t="s">
        <v>133</v>
      </c>
    </row>
    <row r="50" spans="1:2" ht="27" customHeight="1">
      <c r="A50" s="7" t="s">
        <v>12</v>
      </c>
      <c r="B50" s="8" t="s">
        <v>32</v>
      </c>
    </row>
    <row r="51" spans="1:2" ht="27" customHeight="1">
      <c r="A51" s="7" t="s">
        <v>110</v>
      </c>
      <c r="B51" s="8"/>
    </row>
    <row r="52" spans="1:2" ht="42" customHeight="1">
      <c r="A52" s="7" t="s">
        <v>111</v>
      </c>
      <c r="B52" s="9" t="s">
        <v>134</v>
      </c>
    </row>
    <row r="53" spans="1:2" ht="42" customHeight="1">
      <c r="A53" s="7" t="s">
        <v>113</v>
      </c>
      <c r="B53" s="8" t="s">
        <v>135</v>
      </c>
    </row>
    <row r="54" spans="1:2" ht="27" customHeight="1">
      <c r="A54" s="6" t="s">
        <v>11</v>
      </c>
      <c r="B54" s="1" t="str">
        <f>'Tổng quan'!H11</f>
        <v>Chưa xác nhận</v>
      </c>
    </row>
    <row r="55" spans="1:2" ht="27" customHeight="1">
      <c r="A55" s="1"/>
      <c r="B55" s="10" t="s">
        <v>136</v>
      </c>
    </row>
    <row r="56" spans="1:2">
      <c r="A56" s="1"/>
      <c r="B56" s="1"/>
    </row>
    <row r="57" spans="1:2" ht="30.95" customHeight="1">
      <c r="A57" s="5" t="s">
        <v>33</v>
      </c>
      <c r="B57" s="5" t="s">
        <v>34</v>
      </c>
    </row>
    <row r="58" spans="1:2" ht="27" customHeight="1">
      <c r="A58" s="7" t="s">
        <v>94</v>
      </c>
      <c r="B58" s="8" t="s">
        <v>137</v>
      </c>
    </row>
    <row r="59" spans="1:2" ht="57.95" customHeight="1">
      <c r="A59" s="7" t="s">
        <v>8</v>
      </c>
      <c r="B59" s="8" t="s">
        <v>138</v>
      </c>
    </row>
    <row r="60" spans="1:2" ht="27" customHeight="1">
      <c r="A60" s="7" t="s">
        <v>97</v>
      </c>
      <c r="B60" s="8" t="s">
        <v>139</v>
      </c>
    </row>
    <row r="61" spans="1:2" ht="90" customHeight="1">
      <c r="A61" s="7" t="s">
        <v>99</v>
      </c>
      <c r="B61" s="8" t="s">
        <v>140</v>
      </c>
    </row>
    <row r="62" spans="1:2" ht="42" customHeight="1">
      <c r="A62" s="7" t="s">
        <v>101</v>
      </c>
      <c r="B62" s="8" t="s">
        <v>141</v>
      </c>
    </row>
    <row r="63" spans="1:2" ht="42" customHeight="1">
      <c r="A63" s="7" t="s">
        <v>103</v>
      </c>
      <c r="B63" s="8" t="s">
        <v>142</v>
      </c>
    </row>
    <row r="64" spans="1:2" ht="27" customHeight="1">
      <c r="A64" s="7" t="s">
        <v>105</v>
      </c>
      <c r="B64" s="8" t="s">
        <v>37</v>
      </c>
    </row>
    <row r="65" spans="1:2" ht="27" customHeight="1">
      <c r="A65" s="7" t="s">
        <v>106</v>
      </c>
      <c r="B65" s="8" t="s">
        <v>143</v>
      </c>
    </row>
    <row r="66" spans="1:2" ht="27" customHeight="1">
      <c r="A66" s="7" t="s">
        <v>108</v>
      </c>
      <c r="B66" s="8" t="s">
        <v>144</v>
      </c>
    </row>
    <row r="67" spans="1:2" ht="27" customHeight="1">
      <c r="A67" s="7" t="s">
        <v>12</v>
      </c>
      <c r="B67" s="8" t="s">
        <v>38</v>
      </c>
    </row>
    <row r="68" spans="1:2" ht="27" customHeight="1">
      <c r="A68" s="7" t="s">
        <v>110</v>
      </c>
      <c r="B68" s="8"/>
    </row>
    <row r="69" spans="1:2" ht="27" customHeight="1">
      <c r="A69" s="7" t="s">
        <v>111</v>
      </c>
      <c r="B69" s="9" t="s">
        <v>145</v>
      </c>
    </row>
    <row r="70" spans="1:2" ht="42" customHeight="1">
      <c r="A70" s="7" t="s">
        <v>113</v>
      </c>
      <c r="B70" s="8" t="s">
        <v>146</v>
      </c>
    </row>
    <row r="71" spans="1:2" ht="27" customHeight="1">
      <c r="A71" s="6" t="s">
        <v>11</v>
      </c>
      <c r="B71" s="1" t="str">
        <f>'Tổng quan'!H12</f>
        <v>Chưa xác nhận</v>
      </c>
    </row>
    <row r="72" spans="1:2" ht="27" customHeight="1">
      <c r="A72" s="1"/>
      <c r="B72" s="10" t="s">
        <v>147</v>
      </c>
    </row>
    <row r="73" spans="1:2">
      <c r="A73" s="1"/>
      <c r="B73" s="1"/>
    </row>
    <row r="74" spans="1:2" ht="30.95" customHeight="1">
      <c r="A74" s="5" t="s">
        <v>39</v>
      </c>
      <c r="B74" s="5" t="s">
        <v>40</v>
      </c>
    </row>
    <row r="75" spans="1:2" ht="27" customHeight="1">
      <c r="A75" s="7" t="s">
        <v>94</v>
      </c>
      <c r="B75" s="8" t="s">
        <v>148</v>
      </c>
    </row>
    <row r="76" spans="1:2" ht="42" customHeight="1">
      <c r="A76" s="7" t="s">
        <v>8</v>
      </c>
      <c r="B76" s="8" t="s">
        <v>149</v>
      </c>
    </row>
    <row r="77" spans="1:2" ht="27" customHeight="1">
      <c r="A77" s="7" t="s">
        <v>97</v>
      </c>
      <c r="B77" s="8" t="s">
        <v>150</v>
      </c>
    </row>
    <row r="78" spans="1:2" ht="57.95" customHeight="1">
      <c r="A78" s="7" t="s">
        <v>99</v>
      </c>
      <c r="B78" s="8" t="s">
        <v>151</v>
      </c>
    </row>
    <row r="79" spans="1:2" ht="27" customHeight="1">
      <c r="A79" s="7" t="s">
        <v>101</v>
      </c>
      <c r="B79" s="8" t="s">
        <v>152</v>
      </c>
    </row>
    <row r="80" spans="1:2" ht="42" customHeight="1">
      <c r="A80" s="7" t="s">
        <v>103</v>
      </c>
      <c r="B80" s="8" t="s">
        <v>153</v>
      </c>
    </row>
    <row r="81" spans="1:2" ht="27" customHeight="1">
      <c r="A81" s="7" t="s">
        <v>105</v>
      </c>
      <c r="B81" s="8" t="s">
        <v>43</v>
      </c>
    </row>
    <row r="82" spans="1:2" ht="27" customHeight="1">
      <c r="A82" s="7" t="s">
        <v>106</v>
      </c>
      <c r="B82" s="8" t="s">
        <v>154</v>
      </c>
    </row>
    <row r="83" spans="1:2" ht="27" customHeight="1">
      <c r="A83" s="7" t="s">
        <v>108</v>
      </c>
      <c r="B83" s="8" t="s">
        <v>155</v>
      </c>
    </row>
    <row r="84" spans="1:2" ht="27" customHeight="1">
      <c r="A84" s="7" t="s">
        <v>12</v>
      </c>
      <c r="B84" s="8" t="s">
        <v>44</v>
      </c>
    </row>
    <row r="85" spans="1:2" ht="27" customHeight="1">
      <c r="A85" s="7" t="s">
        <v>110</v>
      </c>
      <c r="B85" s="8"/>
    </row>
    <row r="86" spans="1:2" ht="27" customHeight="1">
      <c r="A86" s="7" t="s">
        <v>111</v>
      </c>
      <c r="B86" s="9" t="s">
        <v>156</v>
      </c>
    </row>
    <row r="87" spans="1:2" ht="42" customHeight="1">
      <c r="A87" s="7" t="s">
        <v>113</v>
      </c>
      <c r="B87" s="8" t="s">
        <v>157</v>
      </c>
    </row>
    <row r="88" spans="1:2" ht="27" customHeight="1">
      <c r="A88" s="6" t="s">
        <v>11</v>
      </c>
      <c r="B88" s="1" t="str">
        <f>'Tổng quan'!H13</f>
        <v>Chưa xác nhận</v>
      </c>
    </row>
    <row r="89" spans="1:2" ht="27" customHeight="1">
      <c r="A89" s="1"/>
      <c r="B89" s="10" t="s">
        <v>158</v>
      </c>
    </row>
    <row r="90" spans="1:2">
      <c r="A90" s="1"/>
      <c r="B90" s="1"/>
    </row>
    <row r="91" spans="1:2" ht="30.95" customHeight="1">
      <c r="A91" s="5" t="s">
        <v>46</v>
      </c>
      <c r="B91" s="5" t="s">
        <v>47</v>
      </c>
    </row>
    <row r="92" spans="1:2" ht="27" customHeight="1">
      <c r="A92" s="7" t="s">
        <v>94</v>
      </c>
      <c r="B92" s="8" t="s">
        <v>159</v>
      </c>
    </row>
    <row r="93" spans="1:2" ht="57.95" customHeight="1">
      <c r="A93" s="7" t="s">
        <v>8</v>
      </c>
      <c r="B93" s="8" t="s">
        <v>160</v>
      </c>
    </row>
    <row r="94" spans="1:2" ht="27" customHeight="1">
      <c r="A94" s="7" t="s">
        <v>97</v>
      </c>
      <c r="B94" s="8" t="s">
        <v>161</v>
      </c>
    </row>
    <row r="95" spans="1:2" ht="90" customHeight="1">
      <c r="A95" s="7" t="s">
        <v>99</v>
      </c>
      <c r="B95" s="8" t="s">
        <v>162</v>
      </c>
    </row>
    <row r="96" spans="1:2" ht="42" customHeight="1">
      <c r="A96" s="7" t="s">
        <v>101</v>
      </c>
      <c r="B96" s="8" t="s">
        <v>163</v>
      </c>
    </row>
    <row r="97" spans="1:2" ht="42" customHeight="1">
      <c r="A97" s="7" t="s">
        <v>103</v>
      </c>
      <c r="B97" s="8" t="s">
        <v>164</v>
      </c>
    </row>
    <row r="98" spans="1:2" ht="27" customHeight="1">
      <c r="A98" s="7" t="s">
        <v>105</v>
      </c>
      <c r="B98" s="8" t="s">
        <v>50</v>
      </c>
    </row>
    <row r="99" spans="1:2" ht="27" customHeight="1">
      <c r="A99" s="7" t="s">
        <v>106</v>
      </c>
      <c r="B99" s="8" t="s">
        <v>165</v>
      </c>
    </row>
    <row r="100" spans="1:2" ht="27" customHeight="1">
      <c r="A100" s="7" t="s">
        <v>108</v>
      </c>
      <c r="B100" s="8" t="s">
        <v>166</v>
      </c>
    </row>
    <row r="101" spans="1:2" ht="27" customHeight="1">
      <c r="A101" s="7" t="s">
        <v>12</v>
      </c>
      <c r="B101" s="8" t="s">
        <v>51</v>
      </c>
    </row>
    <row r="102" spans="1:2" ht="27" customHeight="1">
      <c r="A102" s="7" t="s">
        <v>110</v>
      </c>
      <c r="B102" s="8"/>
    </row>
    <row r="103" spans="1:2" ht="42" customHeight="1">
      <c r="A103" s="7" t="s">
        <v>111</v>
      </c>
      <c r="B103" s="9" t="s">
        <v>167</v>
      </c>
    </row>
    <row r="104" spans="1:2" ht="42" customHeight="1">
      <c r="A104" s="7" t="s">
        <v>113</v>
      </c>
      <c r="B104" s="8" t="s">
        <v>168</v>
      </c>
    </row>
    <row r="105" spans="1:2" ht="27" customHeight="1">
      <c r="A105" s="6" t="s">
        <v>11</v>
      </c>
      <c r="B105" s="1" t="str">
        <f>'Tổng quan'!H14</f>
        <v>Chưa xác nhận</v>
      </c>
    </row>
    <row r="106" spans="1:2" ht="27" customHeight="1">
      <c r="A106" s="1"/>
      <c r="B106" s="10" t="s">
        <v>169</v>
      </c>
    </row>
    <row r="107" spans="1:2">
      <c r="A107" s="1"/>
      <c r="B107" s="1"/>
    </row>
    <row r="108" spans="1:2" ht="30.95" customHeight="1">
      <c r="A108" s="5" t="s">
        <v>52</v>
      </c>
      <c r="B108" s="5" t="s">
        <v>53</v>
      </c>
    </row>
    <row r="109" spans="1:2" ht="27" customHeight="1">
      <c r="A109" s="7" t="s">
        <v>94</v>
      </c>
      <c r="B109" s="8" t="s">
        <v>159</v>
      </c>
    </row>
    <row r="110" spans="1:2" ht="57.95" customHeight="1">
      <c r="A110" s="7" t="s">
        <v>8</v>
      </c>
      <c r="B110" s="8" t="s">
        <v>170</v>
      </c>
    </row>
    <row r="111" spans="1:2" ht="27" customHeight="1">
      <c r="A111" s="7" t="s">
        <v>97</v>
      </c>
      <c r="B111" s="8" t="s">
        <v>171</v>
      </c>
    </row>
    <row r="112" spans="1:2" ht="90" customHeight="1">
      <c r="A112" s="7" t="s">
        <v>99</v>
      </c>
      <c r="B112" s="8" t="s">
        <v>172</v>
      </c>
    </row>
    <row r="113" spans="1:2" ht="42" customHeight="1">
      <c r="A113" s="7" t="s">
        <v>101</v>
      </c>
      <c r="B113" s="8" t="s">
        <v>173</v>
      </c>
    </row>
    <row r="114" spans="1:2" ht="42" customHeight="1">
      <c r="A114" s="7" t="s">
        <v>103</v>
      </c>
      <c r="B114" s="8" t="s">
        <v>174</v>
      </c>
    </row>
    <row r="115" spans="1:2" ht="27" customHeight="1">
      <c r="A115" s="7" t="s">
        <v>105</v>
      </c>
      <c r="B115" s="8" t="s">
        <v>56</v>
      </c>
    </row>
    <row r="116" spans="1:2" ht="27" customHeight="1">
      <c r="A116" s="7" t="s">
        <v>106</v>
      </c>
      <c r="B116" s="8" t="s">
        <v>175</v>
      </c>
    </row>
    <row r="117" spans="1:2" ht="27" customHeight="1">
      <c r="A117" s="7" t="s">
        <v>108</v>
      </c>
      <c r="B117" s="8" t="s">
        <v>176</v>
      </c>
    </row>
    <row r="118" spans="1:2" ht="27" customHeight="1">
      <c r="A118" s="7" t="s">
        <v>12</v>
      </c>
      <c r="B118" s="8" t="s">
        <v>51</v>
      </c>
    </row>
    <row r="119" spans="1:2" ht="27" customHeight="1">
      <c r="A119" s="7" t="s">
        <v>110</v>
      </c>
      <c r="B119" s="8"/>
    </row>
    <row r="120" spans="1:2" ht="27" customHeight="1">
      <c r="A120" s="7" t="s">
        <v>111</v>
      </c>
      <c r="B120" s="9" t="s">
        <v>177</v>
      </c>
    </row>
    <row r="121" spans="1:2" ht="42" customHeight="1">
      <c r="A121" s="7" t="s">
        <v>113</v>
      </c>
      <c r="B121" s="8" t="s">
        <v>178</v>
      </c>
    </row>
    <row r="122" spans="1:2" ht="27" customHeight="1">
      <c r="A122" s="6" t="s">
        <v>11</v>
      </c>
      <c r="B122" s="1" t="str">
        <f>'Tổng quan'!H15</f>
        <v>Chưa xác nhận</v>
      </c>
    </row>
    <row r="123" spans="1:2" ht="27" customHeight="1">
      <c r="A123" s="1"/>
      <c r="B123" s="10" t="s">
        <v>179</v>
      </c>
    </row>
    <row r="124" spans="1:2">
      <c r="A124" s="1"/>
      <c r="B124" s="1"/>
    </row>
    <row r="125" spans="1:2" ht="30.95" customHeight="1">
      <c r="A125" s="5" t="s">
        <v>57</v>
      </c>
      <c r="B125" s="5" t="s">
        <v>58</v>
      </c>
    </row>
    <row r="126" spans="1:2" ht="27" customHeight="1">
      <c r="A126" s="7" t="s">
        <v>94</v>
      </c>
      <c r="B126" s="8" t="s">
        <v>159</v>
      </c>
    </row>
    <row r="127" spans="1:2" ht="57.95" customHeight="1">
      <c r="A127" s="7" t="s">
        <v>8</v>
      </c>
      <c r="B127" s="8" t="s">
        <v>180</v>
      </c>
    </row>
    <row r="128" spans="1:2" ht="27" customHeight="1">
      <c r="A128" s="7" t="s">
        <v>97</v>
      </c>
      <c r="B128" s="8" t="s">
        <v>181</v>
      </c>
    </row>
    <row r="129" spans="1:2" ht="90" customHeight="1">
      <c r="A129" s="7" t="s">
        <v>99</v>
      </c>
      <c r="B129" s="8" t="s">
        <v>182</v>
      </c>
    </row>
    <row r="130" spans="1:2" ht="42" customHeight="1">
      <c r="A130" s="7" t="s">
        <v>101</v>
      </c>
      <c r="B130" s="8" t="s">
        <v>183</v>
      </c>
    </row>
    <row r="131" spans="1:2" ht="42" customHeight="1">
      <c r="A131" s="7" t="s">
        <v>103</v>
      </c>
      <c r="B131" s="8" t="s">
        <v>184</v>
      </c>
    </row>
    <row r="132" spans="1:2" ht="27" customHeight="1">
      <c r="A132" s="7" t="s">
        <v>105</v>
      </c>
      <c r="B132" s="8" t="s">
        <v>61</v>
      </c>
    </row>
    <row r="133" spans="1:2" ht="27" customHeight="1">
      <c r="A133" s="7" t="s">
        <v>106</v>
      </c>
      <c r="B133" s="8" t="s">
        <v>185</v>
      </c>
    </row>
    <row r="134" spans="1:2" ht="27" customHeight="1">
      <c r="A134" s="7" t="s">
        <v>108</v>
      </c>
      <c r="B134" s="8" t="s">
        <v>186</v>
      </c>
    </row>
    <row r="135" spans="1:2" ht="27" customHeight="1">
      <c r="A135" s="7" t="s">
        <v>12</v>
      </c>
      <c r="B135" s="8" t="s">
        <v>51</v>
      </c>
    </row>
    <row r="136" spans="1:2" ht="27" customHeight="1">
      <c r="A136" s="7" t="s">
        <v>110</v>
      </c>
      <c r="B136" s="8"/>
    </row>
    <row r="137" spans="1:2" ht="42" customHeight="1">
      <c r="A137" s="7" t="s">
        <v>111</v>
      </c>
      <c r="B137" s="9" t="s">
        <v>187</v>
      </c>
    </row>
    <row r="138" spans="1:2" ht="27" customHeight="1">
      <c r="A138" s="7" t="s">
        <v>113</v>
      </c>
      <c r="B138" s="8" t="s">
        <v>188</v>
      </c>
    </row>
    <row r="139" spans="1:2" ht="27" customHeight="1">
      <c r="A139" s="6" t="s">
        <v>11</v>
      </c>
      <c r="B139" s="1" t="str">
        <f>'Tổng quan'!H16</f>
        <v>Chưa xác nhận</v>
      </c>
    </row>
    <row r="140" spans="1:2" ht="27" customHeight="1">
      <c r="A140" s="1"/>
      <c r="B140" s="10" t="s">
        <v>189</v>
      </c>
    </row>
    <row r="141" spans="1:2">
      <c r="A141" s="1"/>
      <c r="B141" s="1"/>
    </row>
    <row r="142" spans="1:2" ht="30.95" customHeight="1">
      <c r="A142" s="5" t="s">
        <v>62</v>
      </c>
      <c r="B142" s="5" t="s">
        <v>63</v>
      </c>
    </row>
    <row r="143" spans="1:2" ht="27" customHeight="1">
      <c r="A143" s="7" t="s">
        <v>94</v>
      </c>
      <c r="B143" s="8" t="s">
        <v>159</v>
      </c>
    </row>
    <row r="144" spans="1:2" ht="57.95" customHeight="1">
      <c r="A144" s="7" t="s">
        <v>8</v>
      </c>
      <c r="B144" s="8" t="s">
        <v>190</v>
      </c>
    </row>
    <row r="145" spans="1:2" ht="27" customHeight="1">
      <c r="A145" s="7" t="s">
        <v>97</v>
      </c>
      <c r="B145" s="8" t="s">
        <v>191</v>
      </c>
    </row>
    <row r="146" spans="1:2" ht="90" customHeight="1">
      <c r="A146" s="7" t="s">
        <v>99</v>
      </c>
      <c r="B146" s="8" t="s">
        <v>192</v>
      </c>
    </row>
    <row r="147" spans="1:2" ht="42" customHeight="1">
      <c r="A147" s="7" t="s">
        <v>101</v>
      </c>
      <c r="B147" s="8" t="s">
        <v>193</v>
      </c>
    </row>
    <row r="148" spans="1:2" ht="42" customHeight="1">
      <c r="A148" s="7" t="s">
        <v>103</v>
      </c>
      <c r="B148" s="8" t="s">
        <v>194</v>
      </c>
    </row>
    <row r="149" spans="1:2" ht="27" customHeight="1">
      <c r="A149" s="7" t="s">
        <v>105</v>
      </c>
      <c r="B149" s="8" t="s">
        <v>66</v>
      </c>
    </row>
    <row r="150" spans="1:2" ht="27" customHeight="1">
      <c r="A150" s="7" t="s">
        <v>106</v>
      </c>
      <c r="B150" s="8" t="s">
        <v>195</v>
      </c>
    </row>
    <row r="151" spans="1:2" ht="27" customHeight="1">
      <c r="A151" s="7" t="s">
        <v>108</v>
      </c>
      <c r="B151" s="8" t="s">
        <v>196</v>
      </c>
    </row>
    <row r="152" spans="1:2" ht="27" customHeight="1">
      <c r="A152" s="7" t="s">
        <v>12</v>
      </c>
      <c r="B152" s="8" t="s">
        <v>51</v>
      </c>
    </row>
    <row r="153" spans="1:2" ht="27" customHeight="1">
      <c r="A153" s="7" t="s">
        <v>110</v>
      </c>
      <c r="B153" s="8"/>
    </row>
    <row r="154" spans="1:2" ht="27" customHeight="1">
      <c r="A154" s="7" t="s">
        <v>111</v>
      </c>
      <c r="B154" s="9" t="s">
        <v>197</v>
      </c>
    </row>
    <row r="155" spans="1:2" ht="42" customHeight="1">
      <c r="A155" s="7" t="s">
        <v>113</v>
      </c>
      <c r="B155" s="8" t="s">
        <v>198</v>
      </c>
    </row>
    <row r="156" spans="1:2" ht="27" customHeight="1">
      <c r="A156" s="6" t="s">
        <v>11</v>
      </c>
      <c r="B156" s="1" t="str">
        <f>'Tổng quan'!H17</f>
        <v>Chưa xác nhận</v>
      </c>
    </row>
    <row r="157" spans="1:2" ht="27" customHeight="1">
      <c r="A157" s="1"/>
      <c r="B157" s="10" t="s">
        <v>199</v>
      </c>
    </row>
    <row r="158" spans="1:2">
      <c r="A158" s="1"/>
      <c r="B158" s="1"/>
    </row>
    <row r="159" spans="1:2" ht="30.95" customHeight="1">
      <c r="A159" s="5" t="s">
        <v>67</v>
      </c>
      <c r="B159" s="5" t="s">
        <v>68</v>
      </c>
    </row>
    <row r="160" spans="1:2" ht="27" customHeight="1">
      <c r="A160" s="7" t="s">
        <v>94</v>
      </c>
      <c r="B160" s="8" t="s">
        <v>159</v>
      </c>
    </row>
    <row r="161" spans="1:2" ht="42" customHeight="1">
      <c r="A161" s="7" t="s">
        <v>8</v>
      </c>
      <c r="B161" s="8" t="s">
        <v>200</v>
      </c>
    </row>
    <row r="162" spans="1:2" ht="27" customHeight="1">
      <c r="A162" s="7" t="s">
        <v>97</v>
      </c>
      <c r="B162" s="8" t="s">
        <v>201</v>
      </c>
    </row>
    <row r="163" spans="1:2" ht="90" customHeight="1">
      <c r="A163" s="7" t="s">
        <v>99</v>
      </c>
      <c r="B163" s="8" t="s">
        <v>202</v>
      </c>
    </row>
    <row r="164" spans="1:2" ht="27" customHeight="1">
      <c r="A164" s="7" t="s">
        <v>101</v>
      </c>
      <c r="B164" s="8" t="s">
        <v>203</v>
      </c>
    </row>
    <row r="165" spans="1:2" ht="42" customHeight="1">
      <c r="A165" s="7" t="s">
        <v>103</v>
      </c>
      <c r="B165" s="8" t="s">
        <v>204</v>
      </c>
    </row>
    <row r="166" spans="1:2" ht="27" customHeight="1">
      <c r="A166" s="7" t="s">
        <v>105</v>
      </c>
      <c r="B166" s="8" t="s">
        <v>71</v>
      </c>
    </row>
    <row r="167" spans="1:2" ht="27" customHeight="1">
      <c r="A167" s="7" t="s">
        <v>106</v>
      </c>
      <c r="B167" s="8" t="s">
        <v>205</v>
      </c>
    </row>
    <row r="168" spans="1:2" ht="27" customHeight="1">
      <c r="A168" s="7" t="s">
        <v>108</v>
      </c>
      <c r="B168" s="8" t="s">
        <v>206</v>
      </c>
    </row>
    <row r="169" spans="1:2" ht="27" customHeight="1">
      <c r="A169" s="7" t="s">
        <v>12</v>
      </c>
      <c r="B169" s="8" t="s">
        <v>72</v>
      </c>
    </row>
    <row r="170" spans="1:2" ht="27" customHeight="1">
      <c r="A170" s="7" t="s">
        <v>110</v>
      </c>
      <c r="B170" s="8"/>
    </row>
    <row r="171" spans="1:2" ht="27" customHeight="1">
      <c r="A171" s="7" t="s">
        <v>111</v>
      </c>
      <c r="B171" s="9" t="s">
        <v>207</v>
      </c>
    </row>
    <row r="172" spans="1:2" ht="42" customHeight="1">
      <c r="A172" s="7" t="s">
        <v>113</v>
      </c>
      <c r="B172" s="8" t="s">
        <v>208</v>
      </c>
    </row>
    <row r="173" spans="1:2" ht="27" customHeight="1">
      <c r="A173" s="6" t="s">
        <v>11</v>
      </c>
      <c r="B173" s="1" t="str">
        <f>'Tổng quan'!H18</f>
        <v>Chưa xác nhận</v>
      </c>
    </row>
    <row r="174" spans="1:2" ht="27" customHeight="1">
      <c r="A174" s="1"/>
      <c r="B174" s="10" t="s">
        <v>209</v>
      </c>
    </row>
    <row r="175" spans="1:2">
      <c r="A175" s="1"/>
      <c r="B175" s="1"/>
    </row>
    <row r="176" spans="1:2" ht="30.95" customHeight="1">
      <c r="A176" s="5" t="s">
        <v>73</v>
      </c>
      <c r="B176" s="5" t="s">
        <v>74</v>
      </c>
    </row>
    <row r="177" spans="1:2" ht="27" customHeight="1">
      <c r="A177" s="7" t="s">
        <v>94</v>
      </c>
      <c r="B177" s="8" t="s">
        <v>159</v>
      </c>
    </row>
    <row r="178" spans="1:2" ht="42" customHeight="1">
      <c r="A178" s="7" t="s">
        <v>8</v>
      </c>
      <c r="B178" s="8" t="s">
        <v>210</v>
      </c>
    </row>
    <row r="179" spans="1:2" ht="27" customHeight="1">
      <c r="A179" s="7" t="s">
        <v>97</v>
      </c>
      <c r="B179" s="8" t="s">
        <v>211</v>
      </c>
    </row>
    <row r="180" spans="1:2" ht="90" customHeight="1">
      <c r="A180" s="7" t="s">
        <v>99</v>
      </c>
      <c r="B180" s="8" t="s">
        <v>212</v>
      </c>
    </row>
    <row r="181" spans="1:2" ht="27" customHeight="1">
      <c r="A181" s="7" t="s">
        <v>101</v>
      </c>
      <c r="B181" s="8" t="s">
        <v>213</v>
      </c>
    </row>
    <row r="182" spans="1:2" ht="42" customHeight="1">
      <c r="A182" s="7" t="s">
        <v>103</v>
      </c>
      <c r="B182" s="8" t="s">
        <v>214</v>
      </c>
    </row>
    <row r="183" spans="1:2" ht="27" customHeight="1">
      <c r="A183" s="7" t="s">
        <v>105</v>
      </c>
      <c r="B183" s="8" t="s">
        <v>77</v>
      </c>
    </row>
    <row r="184" spans="1:2" ht="27" customHeight="1">
      <c r="A184" s="7" t="s">
        <v>106</v>
      </c>
      <c r="B184" s="8" t="s">
        <v>215</v>
      </c>
    </row>
    <row r="185" spans="1:2" ht="27" customHeight="1">
      <c r="A185" s="7" t="s">
        <v>108</v>
      </c>
      <c r="B185" s="8" t="s">
        <v>216</v>
      </c>
    </row>
    <row r="186" spans="1:2" ht="27" customHeight="1">
      <c r="A186" s="7" t="s">
        <v>12</v>
      </c>
      <c r="B186" s="8" t="s">
        <v>78</v>
      </c>
    </row>
    <row r="187" spans="1:2" ht="27" customHeight="1">
      <c r="A187" s="7" t="s">
        <v>110</v>
      </c>
      <c r="B187" s="8"/>
    </row>
    <row r="188" spans="1:2" ht="42" customHeight="1">
      <c r="A188" s="7" t="s">
        <v>111</v>
      </c>
      <c r="B188" s="9" t="s">
        <v>217</v>
      </c>
    </row>
    <row r="189" spans="1:2" ht="42" customHeight="1">
      <c r="A189" s="7" t="s">
        <v>113</v>
      </c>
      <c r="B189" s="8" t="s">
        <v>218</v>
      </c>
    </row>
    <row r="190" spans="1:2" ht="27" customHeight="1">
      <c r="A190" s="6" t="s">
        <v>11</v>
      </c>
      <c r="B190" s="1" t="str">
        <f>'Tổng quan'!H19</f>
        <v>Chưa xác nhận</v>
      </c>
    </row>
    <row r="191" spans="1:2" ht="27" customHeight="1">
      <c r="A191" s="1"/>
      <c r="B191" s="10" t="s">
        <v>219</v>
      </c>
    </row>
    <row r="192" spans="1:2">
      <c r="A192" s="1"/>
      <c r="B192" s="1"/>
    </row>
    <row r="193" spans="1:2" ht="30.95" customHeight="1">
      <c r="A193" s="5" t="s">
        <v>80</v>
      </c>
      <c r="B193" s="5" t="s">
        <v>81</v>
      </c>
    </row>
    <row r="194" spans="1:2" ht="27" customHeight="1">
      <c r="A194" s="7" t="s">
        <v>94</v>
      </c>
      <c r="B194" s="8" t="s">
        <v>220</v>
      </c>
    </row>
    <row r="195" spans="1:2" ht="57.95" customHeight="1">
      <c r="A195" s="7" t="s">
        <v>8</v>
      </c>
      <c r="B195" s="8" t="s">
        <v>221</v>
      </c>
    </row>
    <row r="196" spans="1:2" ht="27" customHeight="1">
      <c r="A196" s="7" t="s">
        <v>97</v>
      </c>
      <c r="B196" s="8" t="s">
        <v>201</v>
      </c>
    </row>
    <row r="197" spans="1:2" ht="74.099999999999994" customHeight="1">
      <c r="A197" s="7" t="s">
        <v>99</v>
      </c>
      <c r="B197" s="8" t="s">
        <v>222</v>
      </c>
    </row>
    <row r="198" spans="1:2" ht="42" customHeight="1">
      <c r="A198" s="7" t="s">
        <v>101</v>
      </c>
      <c r="B198" s="8" t="s">
        <v>223</v>
      </c>
    </row>
    <row r="199" spans="1:2" ht="42" customHeight="1">
      <c r="A199" s="7" t="s">
        <v>103</v>
      </c>
      <c r="B199" s="8" t="s">
        <v>224</v>
      </c>
    </row>
    <row r="200" spans="1:2" ht="27" customHeight="1">
      <c r="A200" s="7" t="s">
        <v>105</v>
      </c>
      <c r="B200" s="8" t="s">
        <v>84</v>
      </c>
    </row>
    <row r="201" spans="1:2" ht="27" customHeight="1">
      <c r="A201" s="7" t="s">
        <v>106</v>
      </c>
      <c r="B201" s="8" t="s">
        <v>225</v>
      </c>
    </row>
    <row r="202" spans="1:2" ht="27" customHeight="1">
      <c r="A202" s="7" t="s">
        <v>108</v>
      </c>
      <c r="B202" s="8" t="s">
        <v>226</v>
      </c>
    </row>
    <row r="203" spans="1:2" ht="27" customHeight="1">
      <c r="A203" s="7" t="s">
        <v>12</v>
      </c>
      <c r="B203" s="8" t="s">
        <v>79</v>
      </c>
    </row>
    <row r="204" spans="1:2" ht="27" customHeight="1">
      <c r="A204" s="7" t="s">
        <v>110</v>
      </c>
      <c r="B204" s="8"/>
    </row>
    <row r="205" spans="1:2" ht="42" customHeight="1">
      <c r="A205" s="7" t="s">
        <v>111</v>
      </c>
      <c r="B205" s="9" t="s">
        <v>227</v>
      </c>
    </row>
    <row r="206" spans="1:2" ht="27" customHeight="1">
      <c r="A206" s="7" t="s">
        <v>113</v>
      </c>
      <c r="B206" s="8" t="s">
        <v>228</v>
      </c>
    </row>
    <row r="207" spans="1:2" ht="27" customHeight="1">
      <c r="A207" s="6" t="s">
        <v>11</v>
      </c>
      <c r="B207" s="1" t="str">
        <f>'Tổng quan'!H20</f>
        <v>Chưa xác nhận</v>
      </c>
    </row>
    <row r="208" spans="1:2" ht="27" customHeight="1">
      <c r="A208" s="1"/>
      <c r="B208" s="10" t="s">
        <v>229</v>
      </c>
    </row>
    <row r="209" spans="1:2">
      <c r="A209" s="1"/>
      <c r="B209" s="1"/>
    </row>
    <row r="210" spans="1:2" ht="30.95" customHeight="1">
      <c r="A210" s="5" t="s">
        <v>85</v>
      </c>
      <c r="B210" s="5" t="s">
        <v>86</v>
      </c>
    </row>
    <row r="211" spans="1:2" ht="27" customHeight="1">
      <c r="A211" s="7" t="s">
        <v>94</v>
      </c>
      <c r="B211" s="8" t="s">
        <v>230</v>
      </c>
    </row>
    <row r="212" spans="1:2" ht="42" customHeight="1">
      <c r="A212" s="7" t="s">
        <v>8</v>
      </c>
      <c r="B212" s="8" t="s">
        <v>231</v>
      </c>
    </row>
    <row r="213" spans="1:2" ht="27" customHeight="1">
      <c r="A213" s="7" t="s">
        <v>97</v>
      </c>
      <c r="B213" s="8" t="s">
        <v>232</v>
      </c>
    </row>
    <row r="214" spans="1:2" ht="90" customHeight="1">
      <c r="A214" s="7" t="s">
        <v>99</v>
      </c>
      <c r="B214" s="8" t="s">
        <v>233</v>
      </c>
    </row>
    <row r="215" spans="1:2" ht="27" customHeight="1">
      <c r="A215" s="7" t="s">
        <v>101</v>
      </c>
      <c r="B215" s="8" t="s">
        <v>234</v>
      </c>
    </row>
    <row r="216" spans="1:2" ht="42" customHeight="1">
      <c r="A216" s="7" t="s">
        <v>103</v>
      </c>
      <c r="B216" s="8" t="s">
        <v>235</v>
      </c>
    </row>
    <row r="217" spans="1:2" ht="27" customHeight="1">
      <c r="A217" s="7" t="s">
        <v>105</v>
      </c>
      <c r="B217" s="8" t="s">
        <v>89</v>
      </c>
    </row>
    <row r="218" spans="1:2" ht="42" customHeight="1">
      <c r="A218" s="7" t="s">
        <v>106</v>
      </c>
      <c r="B218" s="8" t="s">
        <v>236</v>
      </c>
    </row>
    <row r="219" spans="1:2" ht="27" customHeight="1">
      <c r="A219" s="7" t="s">
        <v>108</v>
      </c>
      <c r="B219" s="8" t="s">
        <v>237</v>
      </c>
    </row>
    <row r="220" spans="1:2" ht="27" customHeight="1">
      <c r="A220" s="7" t="s">
        <v>12</v>
      </c>
      <c r="B220" s="8" t="s">
        <v>90</v>
      </c>
    </row>
    <row r="221" spans="1:2" ht="27" customHeight="1">
      <c r="A221" s="7" t="s">
        <v>110</v>
      </c>
      <c r="B221" s="8"/>
    </row>
    <row r="222" spans="1:2" ht="42" customHeight="1">
      <c r="A222" s="7" t="s">
        <v>111</v>
      </c>
      <c r="B222" s="9" t="s">
        <v>238</v>
      </c>
    </row>
    <row r="223" spans="1:2" ht="42" customHeight="1">
      <c r="A223" s="7" t="s">
        <v>113</v>
      </c>
      <c r="B223" s="8" t="s">
        <v>239</v>
      </c>
    </row>
    <row r="224" spans="1:2" ht="27" customHeight="1">
      <c r="A224" s="6" t="s">
        <v>11</v>
      </c>
      <c r="B224" s="1" t="str">
        <f>'Tổng quan'!H21</f>
        <v>Chưa xác nhận</v>
      </c>
    </row>
    <row r="225" spans="1:2" ht="27" customHeight="1">
      <c r="A225" s="1"/>
      <c r="B225" s="10" t="s">
        <v>240</v>
      </c>
    </row>
    <row r="226" spans="1:2">
      <c r="A226" s="1"/>
      <c r="B226" s="1"/>
    </row>
    <row r="227" spans="1:2">
      <c r="A227" s="1"/>
      <c r="B227" s="1"/>
    </row>
    <row r="228" spans="1:2">
      <c r="A228" s="1"/>
      <c r="B228" s="1"/>
    </row>
    <row r="229" spans="1:2">
      <c r="A229" s="1"/>
      <c r="B229" s="1"/>
    </row>
    <row r="230" spans="1:2">
      <c r="A230" s="1"/>
      <c r="B230" s="1"/>
    </row>
    <row r="231" spans="1:2">
      <c r="A231" s="1"/>
      <c r="B231" s="1"/>
    </row>
    <row r="232" spans="1:2">
      <c r="A232" s="1"/>
      <c r="B232" s="1"/>
    </row>
    <row r="233" spans="1:2">
      <c r="A233" s="1"/>
      <c r="B233" s="1"/>
    </row>
    <row r="234" spans="1:2">
      <c r="A234" s="1"/>
      <c r="B234" s="1"/>
    </row>
    <row r="235" spans="1:2">
      <c r="A235" s="1"/>
      <c r="B235" s="1"/>
    </row>
    <row r="236" spans="1:2">
      <c r="A236" s="1"/>
      <c r="B236" s="1"/>
    </row>
    <row r="237" spans="1:2">
      <c r="A237" s="1"/>
      <c r="B237" s="1"/>
    </row>
    <row r="238" spans="1:2">
      <c r="A238" s="1"/>
      <c r="B238" s="1"/>
    </row>
    <row r="239" spans="1:2">
      <c r="A239" s="1"/>
      <c r="B239" s="1"/>
    </row>
    <row r="240" spans="1:2">
      <c r="A240" s="1"/>
      <c r="B240" s="1"/>
    </row>
  </sheetData>
  <mergeCells count="3">
    <mergeCell ref="A2:B2"/>
    <mergeCell ref="A3:B3"/>
    <mergeCell ref="A4:B4"/>
  </mergeCells>
  <hyperlinks>
    <hyperlink ref="B21" location="'Tổng quan'!B9" display="Về dòng ROOM-01 ở Tổng quan" xr:uid="{00000000-0004-0000-0100-000000000000}"/>
    <hyperlink ref="B38" location="'Tổng quan'!B10" display="Về dòng ROOM-02 ở Tổng quan" xr:uid="{00000000-0004-0000-0100-000001000000}"/>
    <hyperlink ref="B55" location="'Tổng quan'!B11" display="Về dòng IDENTITY-01 ở Tổng quan" xr:uid="{00000000-0004-0000-0100-000002000000}"/>
    <hyperlink ref="B72" location="'Tổng quan'!B12" display="Về dòng AUTH-01 ở Tổng quan" xr:uid="{00000000-0004-0000-0100-000003000000}"/>
    <hyperlink ref="B89" location="'Tổng quan'!B13" display="Về dòng AUTH-02 ở Tổng quan" xr:uid="{00000000-0004-0000-0100-000004000000}"/>
    <hyperlink ref="B106" location="'Tổng quan'!B14" display="Về dòng STUDY-01 ở Tổng quan" xr:uid="{00000000-0004-0000-0100-000005000000}"/>
    <hyperlink ref="B123" location="'Tổng quan'!B15" display="Về dòng STUDY-02 ở Tổng quan" xr:uid="{00000000-0004-0000-0100-000006000000}"/>
    <hyperlink ref="B140" location="'Tổng quan'!B16" display="Về dòng STUDY-03 ở Tổng quan" xr:uid="{00000000-0004-0000-0100-000007000000}"/>
    <hyperlink ref="B157" location="'Tổng quan'!B17" display="Về dòng STUDY-04 ở Tổng quan" xr:uid="{00000000-0004-0000-0100-000008000000}"/>
    <hyperlink ref="B174" location="'Tổng quan'!B18" display="Về dòng STUDY-05 ở Tổng quan" xr:uid="{00000000-0004-0000-0100-000009000000}"/>
    <hyperlink ref="B191" location="'Tổng quan'!B19" display="Về dòng STUDY-06 ở Tổng quan" xr:uid="{00000000-0004-0000-0100-00000A000000}"/>
    <hyperlink ref="B208" location="'Tổng quan'!B20" display="Về dòng PROFILE-01 ở Tổng quan" xr:uid="{00000000-0004-0000-0100-00000B000000}"/>
    <hyperlink ref="B225" location="'Tổng quan'!B21" display="Về dòng RANK-01 ở Tổng quan" xr:uid="{00000000-0004-0000-0100-00000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8B46E"/>
  </sheetPr>
  <dimension ref="A1:G20"/>
  <sheetViews>
    <sheetView showGridLines="0" workbookViewId="0">
      <pane xSplit="3" ySplit="5" topLeftCell="D9" activePane="bottomRight" state="frozen"/>
      <selection pane="topRight"/>
      <selection pane="bottomLeft"/>
      <selection pane="bottomRight" activeCell="C21" sqref="C21"/>
    </sheetView>
  </sheetViews>
  <sheetFormatPr defaultRowHeight="14.25"/>
  <cols>
    <col min="1" max="1" width="15" customWidth="1"/>
    <col min="2" max="2" width="18" customWidth="1"/>
    <col min="3" max="4" width="30" customWidth="1"/>
    <col min="5" max="5" width="45" customWidth="1"/>
    <col min="6" max="6" width="57" customWidth="1"/>
    <col min="7" max="7" width="23" customWidth="1"/>
  </cols>
  <sheetData>
    <row r="1" spans="1:7">
      <c r="A1" s="1"/>
      <c r="B1" s="1"/>
      <c r="C1" s="1"/>
      <c r="D1" s="1"/>
      <c r="E1" s="1"/>
      <c r="F1" s="1"/>
      <c r="G1" s="1"/>
    </row>
    <row r="2" spans="1:7" ht="33" customHeight="1">
      <c r="A2" s="14" t="s">
        <v>241</v>
      </c>
      <c r="B2" s="14"/>
      <c r="C2" s="14"/>
      <c r="D2" s="14"/>
      <c r="E2" s="14"/>
      <c r="F2" s="14"/>
      <c r="G2" s="14"/>
    </row>
    <row r="3" spans="1:7" ht="30" customHeight="1">
      <c r="A3" s="15" t="s">
        <v>242</v>
      </c>
      <c r="B3" s="15"/>
      <c r="C3" s="15"/>
      <c r="D3" s="15"/>
      <c r="E3" s="15"/>
      <c r="F3" s="15"/>
      <c r="G3" s="15"/>
    </row>
    <row r="4" spans="1:7">
      <c r="A4" s="1"/>
      <c r="B4" s="1"/>
      <c r="C4" s="1"/>
      <c r="D4" s="1"/>
      <c r="E4" s="1"/>
      <c r="F4" s="1"/>
      <c r="G4" s="1"/>
    </row>
    <row r="5" spans="1:7" ht="33.950000000000003" customHeight="1">
      <c r="A5" s="2" t="s">
        <v>243</v>
      </c>
      <c r="B5" s="2" t="s">
        <v>244</v>
      </c>
      <c r="C5" s="2" t="s">
        <v>245</v>
      </c>
      <c r="D5" s="2" t="s">
        <v>246</v>
      </c>
      <c r="E5" s="2" t="s">
        <v>247</v>
      </c>
      <c r="F5" s="2" t="s">
        <v>248</v>
      </c>
      <c r="G5" s="2" t="s">
        <v>249</v>
      </c>
    </row>
    <row r="6" spans="1:7" ht="66" customHeight="1">
      <c r="A6" s="13" t="s">
        <v>250</v>
      </c>
      <c r="B6" s="13" t="s">
        <v>26</v>
      </c>
      <c r="C6" s="13" t="s">
        <v>251</v>
      </c>
      <c r="D6" s="13" t="s">
        <v>252</v>
      </c>
      <c r="E6" s="13" t="s">
        <v>253</v>
      </c>
      <c r="F6" s="13" t="s">
        <v>254</v>
      </c>
      <c r="G6" s="13" t="s">
        <v>255</v>
      </c>
    </row>
    <row r="7" spans="1:7" ht="66" customHeight="1">
      <c r="A7" s="4" t="s">
        <v>256</v>
      </c>
      <c r="B7" s="4" t="s">
        <v>26</v>
      </c>
      <c r="C7" s="4" t="s">
        <v>257</v>
      </c>
      <c r="D7" s="4" t="s">
        <v>258</v>
      </c>
      <c r="E7" s="4" t="s">
        <v>259</v>
      </c>
      <c r="F7" s="4" t="s">
        <v>260</v>
      </c>
      <c r="G7" s="4" t="s">
        <v>255</v>
      </c>
    </row>
    <row r="8" spans="1:7" ht="66" customHeight="1">
      <c r="A8" s="13" t="s">
        <v>261</v>
      </c>
      <c r="B8" s="13" t="s">
        <v>26</v>
      </c>
      <c r="C8" s="13" t="s">
        <v>262</v>
      </c>
      <c r="D8" s="13" t="s">
        <v>263</v>
      </c>
      <c r="E8" s="13" t="s">
        <v>264</v>
      </c>
      <c r="F8" s="13" t="s">
        <v>265</v>
      </c>
      <c r="G8" s="13" t="s">
        <v>255</v>
      </c>
    </row>
    <row r="9" spans="1:7" ht="66" customHeight="1">
      <c r="A9" s="4" t="s">
        <v>266</v>
      </c>
      <c r="B9" s="4" t="s">
        <v>45</v>
      </c>
      <c r="C9" s="4" t="s">
        <v>267</v>
      </c>
      <c r="D9" s="4" t="s">
        <v>268</v>
      </c>
      <c r="E9" s="4" t="s">
        <v>269</v>
      </c>
      <c r="F9" s="4" t="s">
        <v>270</v>
      </c>
      <c r="G9" s="4" t="s">
        <v>255</v>
      </c>
    </row>
    <row r="10" spans="1:7" ht="66" customHeight="1">
      <c r="A10" s="13" t="s">
        <v>271</v>
      </c>
      <c r="B10" s="13" t="s">
        <v>272</v>
      </c>
      <c r="C10" s="13" t="s">
        <v>273</v>
      </c>
      <c r="D10" s="13" t="s">
        <v>274</v>
      </c>
      <c r="E10" s="13" t="s">
        <v>275</v>
      </c>
      <c r="F10" s="13" t="s">
        <v>276</v>
      </c>
      <c r="G10" s="13" t="s">
        <v>255</v>
      </c>
    </row>
    <row r="11" spans="1:7" ht="66" customHeight="1">
      <c r="A11" s="4" t="s">
        <v>277</v>
      </c>
      <c r="B11" s="4" t="s">
        <v>278</v>
      </c>
      <c r="C11" s="4" t="s">
        <v>279</v>
      </c>
      <c r="D11" s="4" t="s">
        <v>280</v>
      </c>
      <c r="E11" s="4" t="s">
        <v>281</v>
      </c>
      <c r="F11" s="4" t="s">
        <v>282</v>
      </c>
      <c r="G11" s="4" t="s">
        <v>255</v>
      </c>
    </row>
    <row r="12" spans="1:7" ht="66" customHeight="1">
      <c r="A12" s="13" t="s">
        <v>283</v>
      </c>
      <c r="B12" s="13" t="s">
        <v>278</v>
      </c>
      <c r="C12" s="13" t="s">
        <v>284</v>
      </c>
      <c r="D12" s="13" t="s">
        <v>285</v>
      </c>
      <c r="E12" s="13" t="s">
        <v>286</v>
      </c>
      <c r="F12" s="13" t="s">
        <v>287</v>
      </c>
      <c r="G12" s="13" t="s">
        <v>255</v>
      </c>
    </row>
    <row r="13" spans="1:7" ht="66" customHeight="1">
      <c r="A13" s="4" t="s">
        <v>288</v>
      </c>
      <c r="B13" s="4" t="s">
        <v>289</v>
      </c>
      <c r="C13" s="4" t="s">
        <v>290</v>
      </c>
      <c r="D13" s="4" t="s">
        <v>291</v>
      </c>
      <c r="E13" s="4" t="s">
        <v>292</v>
      </c>
      <c r="F13" s="4" t="s">
        <v>293</v>
      </c>
      <c r="G13" s="4" t="s">
        <v>255</v>
      </c>
    </row>
    <row r="14" spans="1:7" ht="66" customHeight="1">
      <c r="A14" s="13" t="s">
        <v>294</v>
      </c>
      <c r="B14" s="13" t="s">
        <v>289</v>
      </c>
      <c r="C14" s="13" t="s">
        <v>295</v>
      </c>
      <c r="D14" s="13" t="s">
        <v>296</v>
      </c>
      <c r="E14" s="13" t="s">
        <v>297</v>
      </c>
      <c r="F14" s="13" t="s">
        <v>298</v>
      </c>
      <c r="G14" s="13" t="s">
        <v>255</v>
      </c>
    </row>
    <row r="15" spans="1:7" ht="66" customHeight="1">
      <c r="A15" s="4" t="s">
        <v>299</v>
      </c>
      <c r="B15" s="4" t="s">
        <v>300</v>
      </c>
      <c r="C15" s="4" t="s">
        <v>301</v>
      </c>
      <c r="D15" s="4" t="s">
        <v>302</v>
      </c>
      <c r="E15" s="4" t="s">
        <v>303</v>
      </c>
      <c r="F15" s="4" t="s">
        <v>304</v>
      </c>
      <c r="G15" s="4" t="s">
        <v>255</v>
      </c>
    </row>
    <row r="16" spans="1:7" ht="66" customHeight="1">
      <c r="A16" s="13" t="s">
        <v>305</v>
      </c>
      <c r="B16" s="13" t="s">
        <v>306</v>
      </c>
      <c r="C16" s="13" t="s">
        <v>307</v>
      </c>
      <c r="D16" s="13" t="s">
        <v>308</v>
      </c>
      <c r="E16" s="13" t="s">
        <v>309</v>
      </c>
      <c r="F16" s="13" t="s">
        <v>310</v>
      </c>
      <c r="G16" s="13" t="s">
        <v>255</v>
      </c>
    </row>
    <row r="17" spans="1:7">
      <c r="A17" s="1"/>
      <c r="B17" s="1"/>
      <c r="C17" s="1"/>
      <c r="D17" s="1"/>
      <c r="E17" s="1"/>
      <c r="F17" s="1"/>
      <c r="G17" s="1"/>
    </row>
    <row r="18" spans="1:7">
      <c r="A18" s="1"/>
      <c r="B18" s="1"/>
      <c r="C18" s="1"/>
      <c r="D18" s="1"/>
      <c r="E18" s="1"/>
      <c r="F18" s="1"/>
      <c r="G18" s="1"/>
    </row>
    <row r="19" spans="1:7">
      <c r="A19" s="1"/>
      <c r="B19" s="1"/>
      <c r="C19" s="1"/>
      <c r="D19" s="1"/>
      <c r="E19" s="1"/>
      <c r="F19" s="1"/>
      <c r="G19" s="1"/>
    </row>
    <row r="20" spans="1:7">
      <c r="A20" s="1"/>
      <c r="B20" s="1"/>
      <c r="C20" s="1"/>
      <c r="D20" s="1"/>
      <c r="E20" s="1"/>
      <c r="F20" s="1"/>
      <c r="G20" s="1"/>
    </row>
  </sheetData>
  <mergeCells count="2">
    <mergeCell ref="A2:G2"/>
    <mergeCell ref="A3:G3"/>
  </mergeCells>
  <conditionalFormatting sqref="G6:G205">
    <cfRule type="cellIs" dxfId="12" priority="1" operator="equal">
      <formula>"Chọn triển khai"</formula>
    </cfRule>
  </conditionalFormatting>
  <dataValidations count="1">
    <dataValidation type="list" sqref="G6:G205" xr:uid="{00000000-0002-0000-0200-000000000000}">
      <formula1>"Đang cân nhắc,Cần nghiên cứu,Chọn triển khai,Đã chuyển thành case,Để sau,Bỏ ý tưởng"</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Tổng quan</vt:lpstr>
      <vt:lpstr>Chi tiết case</vt:lpstr>
      <vt:lpstr>Ý tưởng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KaKa Cheng</cp:lastModifiedBy>
  <dcterms:modified xsi:type="dcterms:W3CDTF">2026-10-11T10:20:41Z</dcterms:modified>
</cp:coreProperties>
</file>